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Findings" state="visible" r:id="rId5"/>
    <sheet sheetId="3" name="Fix Roadmap" state="visible" r:id="rId6"/>
    <sheet sheetId="4" name="Verified Working" state="visible" r:id="rId7"/>
    <sheet sheetId="5" name="DB Checks" state="visible" r:id="rId8"/>
  </sheets>
  <calcPr calcId="171027"/>
</workbook>
</file>

<file path=xl/sharedStrings.xml><?xml version="1.0" encoding="utf-8"?>
<sst xmlns="http://schemas.openxmlformats.org/spreadsheetml/2006/main" count="517" uniqueCount="314">
  <si>
    <t>Linguafy Code Audit — Dashboard</t>
  </si>
  <si>
    <t>19 findings · 2 Critical · 7 High · 6 Medium · 4 Low · ~138 h estimated effort · 4 fix phases</t>
  </si>
  <si>
    <t>Severity totals</t>
  </si>
  <si>
    <t>Top 5 risks — start here</t>
  </si>
  <si>
    <t>Critical</t>
  </si>
  <si>
    <t>High</t>
  </si>
  <si>
    <t>Priority</t>
  </si>
  <si>
    <t>Component</t>
  </si>
  <si>
    <t>Severity</t>
  </si>
  <si>
    <t>Effort</t>
  </si>
  <si>
    <t>What breaks</t>
  </si>
  <si>
    <t>Backend auth</t>
  </si>
  <si>
    <t>1-2d</t>
  </si>
  <si>
    <t>The login check accepts any token starting with "local-", and unknown ids fall back to a default "Learner" account instead of being rejected.</t>
  </si>
  <si>
    <t>0.5-1d</t>
  </si>
  <si>
    <t>Passwords are stored unhashed in local mode and are returned verbatim in the signup, login and /me responses.</t>
  </si>
  <si>
    <t>Findings by module</t>
  </si>
  <si>
    <t>Backend config</t>
  </si>
  <si>
    <t>0.5d</t>
  </si>
  <si>
    <t>GROQ_API_KEY only exists in the git-ignored backend/.env.local. A fresh clone has no key.</t>
  </si>
  <si>
    <t>Module</t>
  </si>
  <si>
    <t>Count</t>
  </si>
  <si>
    <t>.env and .env.local are loaded with CWD-relative paths, so the secrets only load when the server is started from the backend/ folder.</t>
  </si>
  <si>
    <t>Auth</t>
  </si>
  <si>
    <t>Environment defaults</t>
  </si>
  <si>
    <t>1d</t>
  </si>
  <si>
    <t>UI says "Write at least 250 words", but the client only blocks under 25 words and the backend only requires 150 characters (~25 words). When the 40-min timer hits 0 it just stops counting; work is never auto-submitted.</t>
  </si>
  <si>
    <t>Vocabulary</t>
  </si>
  <si>
    <t>Config</t>
  </si>
  <si>
    <t>How to use this workbook</t>
  </si>
  <si>
    <t>Dashboard</t>
  </si>
  <si>
    <t xml:space="preserve">1. Findings tab = the full ledger. Every column is filterable (header arrows).
2. The Status column has a dropdown (Open / In Progress / Fixed / Won't Fix). Pick a value — the row auto-colors.
3. Priority and Effort columns have visual bars (drive planning).
4. File cells are hyperlinks — click to jump to the source file.
5. Fix Roadmap tab = the recommended order to fix things (4 phases).
6. Verified Working tab = what passed live testing. DB Checks tab = what still needs the real Supabase DB to confirm.</t>
  </si>
  <si>
    <t>Exam</t>
  </si>
  <si>
    <t>Grammar</t>
  </si>
  <si>
    <t>UI</t>
  </si>
  <si>
    <t>Roleplay</t>
  </si>
  <si>
    <t>Findings by type</t>
  </si>
  <si>
    <t>Type</t>
  </si>
  <si>
    <t>Security bug</t>
  </si>
  <si>
    <t>Bug</t>
  </si>
  <si>
    <t>Incomplete feature</t>
  </si>
  <si>
    <t>Prompt quality</t>
  </si>
  <si>
    <t>Config gap</t>
  </si>
  <si>
    <t>Infra risk</t>
  </si>
  <si>
    <t>Scope: current repository snapshot. Items marked VERIFIED LIVE were reproduced against the running backend. DB row counts could not be verified locally (no Supabase keys configured) — see the DB Checks tab.</t>
  </si>
  <si>
    <t>Logic bug</t>
  </si>
  <si>
    <t>Missing feature</t>
  </si>
  <si>
    <t>Unused feature</t>
  </si>
  <si>
    <t>Hardcoded UI</t>
  </si>
  <si>
    <t>Deployment risk</t>
  </si>
  <si>
    <t>Missing tooling</t>
  </si>
  <si>
    <t>Structural fragility</t>
  </si>
  <si>
    <t>Dead code</t>
  </si>
  <si>
    <t>Findings ledger</t>
  </si>
  <si>
    <t>Each row is a verified issue, missing feature, or hardcoded value (19 findings). Status is live-editable via the dropdown in column E.</t>
  </si>
  <si>
    <t>Columns: A id · B priority · C module · D component · E status (dropdown) · F severity · G type · H effort · I hours · J file(s) · K lines · L what is broken · M impact · N evidence · O quick fix · P test case</t>
  </si>
  <si>
    <t>ID</t>
  </si>
  <si>
    <t>Status</t>
  </si>
  <si>
    <t>Hours</t>
  </si>
  <si>
    <t>File(s)</t>
  </si>
  <si>
    <t>Lines</t>
  </si>
  <si>
    <t>What is broken</t>
  </si>
  <si>
    <t>Impact</t>
  </si>
  <si>
    <t>Evidence</t>
  </si>
  <si>
    <t>Quick fix</t>
  </si>
  <si>
    <t>Test case</t>
  </si>
  <si>
    <t>F-01</t>
  </si>
  <si>
    <t>Open</t>
  </si>
  <si>
    <t>backend/src/middleware/auth.js; backend/src/services/local.js</t>
  </si>
  <si>
    <t>auth.js:9; local.js:13-16</t>
  </si>
  <si>
    <t>Any client can access every protected endpoint without an account, and reads/writes data under a shared default identity.</t>
  </si>
  <si>
    <t>VERIFIED LIVE: sent "Authorization: Bearer local-banana" -&gt; server returned 200 with a default user profile + progress.</t>
  </si>
  <si>
    <t>Issue signed tokens (HMAC) mapped to real user ids; return 401/404 when the id is unknown. Never fall back to a default account.</t>
  </si>
  <si>
    <t>curl -H "Authorization: Bearer local-banana" http://localhost:4000/api/user/progress -&gt; now 200, must be 401.</t>
  </si>
  <si>
    <t>F-02</t>
  </si>
  <si>
    <t>backend/src/services/local.js; backend/src/routes/auth.js</t>
  </si>
  <si>
    <t>local.js:14; auth.js:15,30</t>
  </si>
  <si>
    <t>If the store or any API response is exposed or sniffed, credentials leak in cleartext.</t>
  </si>
  <si>
    <t>VERIFIED LIVE: signup and /me both echoed "password":"password123".</t>
  </si>
  <si>
    <t>Hash with bcrypt/argon2; never serialize the password field in any JSON response. (Supabase mode already hashes via admin.createUser.)</t>
  </si>
  <si>
    <t>Sign up in local mode and inspect the response body for the raw password.</t>
  </si>
  <si>
    <t>F-03</t>
  </si>
  <si>
    <t>backend/.env; backend/.env.example; backend/src/config.js</t>
  </si>
  <si>
    <t>config.js:17,21; .env:1-3</t>
  </si>
  <si>
    <t>Every AI route (writing, vocab, exam, conversation) returns 503 "Server is missing: groqApiKey".</t>
  </si>
  <si>
    <t>VERIFIED LIVE: reproduced the 503 for all four AI routes.</t>
  </si>
  <si>
    <t>Document the key requirement in README + .env.example; add a startup warning when the key is absent.</t>
  </si>
  <si>
    <t>Clone fresh, run backend, call /api/feedback/analyze-text.</t>
  </si>
  <si>
    <t>F-04</t>
  </si>
  <si>
    <t>backend/src/config.js; backend/src/services/groq.js</t>
  </si>
  <si>
    <t>config.js:2-3</t>
  </si>
  <si>
    <t>Process managers, test harnesses, or deployments launched from another folder silently lose all secrets -&gt; confusing AI outages.</t>
  </si>
  <si>
    <t>VERIFIED LIVE: same code returned 503 groqApiKey from a different working directory, worked when CWD = backend/.</t>
  </si>
  <si>
    <t>Resolve env paths relative to the module (import.meta.url) or fail fast with a clear error.</t>
  </si>
  <si>
    <t>Start "node src/index.js" from the repo root instead of backend/.</t>
  </si>
  <si>
    <t>F-05</t>
  </si>
  <si>
    <t>Validation mismatch</t>
  </si>
  <si>
    <t>src/api.js; backend/src/routes/exam.js; src/main.jsx</t>
  </si>
  <si>
    <t>api.js:1; exam.js:10; main.jsx:98</t>
  </si>
  <si>
    <t>Undersized essays get scored with unreliable band estimates; a user can lose work silently at timeout.</t>
  </si>
  <si>
    <t>VERIFIED LIVE: a ~30-word essay passed validation and was accepted for scoring.</t>
  </si>
  <si>
    <t>Enforce 250 words on both client and server; decide timer-expiry behaviour (auto-submit or clear warning).</t>
  </si>
  <si>
    <t>Submit a 30-word essay -&gt; currently accepted.</t>
  </si>
  <si>
    <t>F-06</t>
  </si>
  <si>
    <t>Grammar drills</t>
  </si>
  <si>
    <t>backend/src/routes/grammar.js</t>
  </si>
  <si>
    <t>grammar.js:10-12</t>
  </si>
  <si>
    <t>The query applies .limit(1) BEFORE choosing randomly, so the "random" drill is sampled from at most one row. The ?pillar= filter shares the same flaw and difficulty is never surfaced.</t>
  </si>
  <si>
    <t>Users effectively see a single drill; pillar/difficulty filters do not work as intended.</t>
  </si>
  <si>
    <t>Static + local-mode trace (local mode correctly uses the full array; Supabase mode is broken by the query shape).</t>
  </si>
  <si>
    <t>Fetch the candidate set (or a random offset) then pick randomly; return difficulty.</t>
  </si>
  <si>
    <t>Call GET /api/drills/grammar?pillar=subjunctive repeatedly in Supabase mode -&gt; same row.</t>
  </si>
  <si>
    <t>F-07</t>
  </si>
  <si>
    <t>Vocabulary progress</t>
  </si>
  <si>
    <t>backend/src/routes/vocabulary.js</t>
  </si>
  <si>
    <t>vocabulary.js:19,23-25</t>
  </si>
  <si>
    <t>Mastery = correct &amp;&amp; attempts &gt;= 3, so the third attempt can mark a word "mastered" even if only the latest answer is correct. The feature promises "three correct uses".</t>
  </si>
  <si>
    <t>Words are falsely mastered; the dashboard "words mastered" stat is inflated.</t>
  </si>
  <si>
    <t>Static: code path traced for both local and Supabase modes.</t>
  </si>
  <si>
    <t>Count actual correct uses (streak or cumulative corrects) instead of attempts.</t>
  </si>
  <si>
    <t>Answer wrong, wrong, right -&gt; currently mastered=true.</t>
  </si>
  <si>
    <t>F-08</t>
  </si>
  <si>
    <t>Frontend auth/session</t>
  </si>
  <si>
    <t>src/main.jsx; src/api.js</t>
  </si>
  <si>
    <t>main.jsx:33-40; api.js:3-9</t>
  </si>
  <si>
    <t>Auth is hydrated only from localStorage and never revalidated with /api/auth/me on startup. Expired/stale tokens keep showing a logged-in user until a request fails.</t>
  </si>
  <si>
    <t>Users see a stale session; no refresh path or forced sign-out.</t>
  </si>
  <si>
    <t>Grep confirmed /api/auth/me is never called by the frontend.</t>
  </si>
  <si>
    <t>On mount, if a token exists call /api/auth/me; on failure clear the session.</t>
  </si>
  <si>
    <t>Inject a bogus token in localStorage and reload the app.</t>
  </si>
  <si>
    <t>F-09</t>
  </si>
  <si>
    <t>Dashboard analytics</t>
  </si>
  <si>
    <t>backend/src/routes/dashboard.js</t>
  </si>
  <si>
    <t>dashboard.js:10-21</t>
  </si>
  <si>
    <t>The response is labeled this_week but the DB queries aggregate all rows with no date filter.</t>
  </si>
  <si>
    <t>Weekly chart, accuracy, and counts are lifetime totals and never reset each week.</t>
  </si>
  <si>
    <t>Static: no created_at filter anywhere in dashboard.js.</t>
  </si>
  <si>
    <t>Add created_at &gt;= now() - interval '7 days' to each aggregate.</t>
  </si>
  <si>
    <t>Query /api/user/progress, wait a week, numbers never reset.</t>
  </si>
  <si>
    <t>F-10</t>
  </si>
  <si>
    <t>Dashboard recommendations</t>
  </si>
  <si>
    <t>Medium</t>
  </si>
  <si>
    <t>backend/src/routes/dashboard.js; src/main.jsx</t>
  </si>
  <si>
    <t>dashboard.js:20-21; main.jsx:74-77</t>
  </si>
  <si>
    <t>The backend computes weak_areas/recommendations but the frontend never reads them. The Overview "Recommended for you" card is hardcoded to "subject-verb agreement" for every user.</t>
  </si>
  <si>
    <t>Personalized recommendations are shown to no one; every user sees the same suggestion.</t>
  </si>
  <si>
    <t>Grep confirmed the frontend uses neither weak_areas nor recommendations.</t>
  </si>
  <si>
    <t>Wire Overview to weak_areas and render real recommendation text.</t>
  </si>
  <si>
    <t>Complete a drill on a pillar; check the Overview recommendation changes.</t>
  </si>
  <si>
    <t>F-11</t>
  </si>
  <si>
    <t>Vocabulary spaced repetition</t>
  </si>
  <si>
    <t>backend/src/routes/vocabulary.js; src/main.jsx</t>
  </si>
  <si>
    <t>vocabulary.js:24; main.jsx:96</t>
  </si>
  <si>
    <t>next_review is set on every attempt but never queried. "Word of the day" is chosen purely by calendar-day index (floor(time/86400000) % wordCount), so mastered words resurface and the "Spaced repetition" UI card does nothing.</t>
  </si>
  <si>
    <t>The learning science behind the feature is fake; mastered words come back at random.</t>
  </si>
  <si>
    <t>Static: next_review is written but never read anywhere.</t>
  </si>
  <si>
    <t>Query next_review to select review words; implement a real SRS schedule.</t>
  </si>
  <si>
    <t>Master a word, then wait for the calendar index to cycle back to it.</t>
  </si>
  <si>
    <t>F-12</t>
  </si>
  <si>
    <t>Overview / Sidebar UI</t>
  </si>
  <si>
    <t>src/main.jsx</t>
  </si>
  <si>
    <t>main.jsx:63-64,74,77,83</t>
  </si>
  <si>
    <t>The 12-day streak, Upgrade CTA, Vocabulary "3" badge, hero chart heights, "Next question" 45%/100% progress and the inert "View report" button are static. "Save this rule" and "End &amp; review notes" only fire a toast.</t>
  </si>
  <si>
    <t>UI displays fake stats and dead buttons, misleading users.</t>
  </si>
  <si>
    <t>Static: values are literals in main.jsx.</t>
  </si>
  <si>
    <t>Drive streak/badges/chart from real data; wire or remove dead buttons.</t>
  </si>
  <si>
    <t>Click "End &amp; review notes" -&gt; nothing is saved or ended.</t>
  </si>
  <si>
    <t>F-13</t>
  </si>
  <si>
    <t>src/main.jsx; backend/src/routes/conversation.js</t>
  </si>
  <si>
    <t>main.jsx:100; conversation.js:10-18</t>
  </si>
  <si>
    <t>Scenario hardcoded to job_interview; no session list, resume flow, or end summary. Local-mode history is an in-memory Map (lost on restart) and the frontend never reloads persisted history on refresh.</t>
  </si>
  <si>
    <t>Conversations cannot be resumed or reviewed after leaving the page.</t>
  </si>
  <si>
    <t>Live-tested: AI stays in character and keeps context across turns (works); persistence/resume is the gap.</t>
  </si>
  <si>
    <t>Add scenario selection, persist session_id, reload history on mount, implement end-session summary.</t>
  </si>
  <si>
    <t>Have a chat, refresh the page -&gt; history resets to the opening line.</t>
  </si>
  <si>
    <t>F-14</t>
  </si>
  <si>
    <t>Writing</t>
  </si>
  <si>
    <t>Writing coach</t>
  </si>
  <si>
    <t>backend/src/services/groq.js; backend/src/routes/writing.js; src/main.jsx</t>
  </si>
  <si>
    <t>groq.js:19; writing.js:13; main.jsx:88,92</t>
  </si>
  <si>
    <t>Style rewrites are returned as grammar "errors". A clean sentence was flagged with two "errors" (style rewrites) and scored tone 40/100 as "informal".</t>
  </si>
  <si>
    <t>Users are told correct English is wrong, eroding trust in the app.</t>
  </si>
  <si>
    <t>VERIFIED LIVE: "I am a software developer and I work on this project every day" -&gt; flagged "As a software developer", "every day"-&gt;"daily", tone informal.</t>
  </si>
  <si>
    <t>Split true grammar errors from style suggestions; only render genuine errors as corrections; neutral tone scoring.</t>
  </si>
  <si>
    <t>Submit a clean professional sentence in Writing studio.</t>
  </si>
  <si>
    <t>F-15</t>
  </si>
  <si>
    <t>Vocabulary originality</t>
  </si>
  <si>
    <t>backend/src/services/groq.js; backend/src/routes/vocabulary.js</t>
  </si>
  <si>
    <t>groq.js:20; vocabulary.js:19,21</t>
  </si>
  <si>
    <t>Submitting the exact copied context example is accepted as a great original answer. No originality/similarity check exists before or inside the Groq call.</t>
  </si>
  <si>
    <t>Students can copy the sample sentence and receive top marks; the "original use" promise is unenforced.</t>
  </si>
  <si>
    <t>VERIFIED LIVE: verbatim example -&gt; correct:true, sophistication 8/10.</t>
  </si>
  <si>
    <t>Add a string/embedding similarity guard against examples before calling Groq; instruct Groq to penalize near-duplicates.</t>
  </si>
  <si>
    <t>Copy the on-screen example sentence and submit it.</t>
  </si>
  <si>
    <t>F-16</t>
  </si>
  <si>
    <t>Build</t>
  </si>
  <si>
    <t>Build output</t>
  </si>
  <si>
    <t>Low</t>
  </si>
  <si>
    <t>dist/assets/index-DsUaU2xf.js</t>
  </si>
  <si>
    <t>baked API URL</t>
  </si>
  <si>
    <t>The dist/ build on disk has http://localhost:4000 baked in as the API URL.</t>
  </si>
  <si>
    <t>A deploy of the stale dist/ talks to a local address and breaks the live site.</t>
  </si>
  <si>
    <t>Inspection of dist JS bundle.</t>
  </si>
  <si>
    <t>Rebuild with VITE_API_URL set before deploying.</t>
  </si>
  <si>
    <t>grep localhost:4000 dist/assets/*.js.</t>
  </si>
  <si>
    <t>F-17</t>
  </si>
  <si>
    <t>Process</t>
  </si>
  <si>
    <t>Engineering process</t>
  </si>
  <si>
    <t>package.json; backend/package.json</t>
  </si>
  <si>
    <t>scripts</t>
  </si>
  <si>
    <t>No automated tests, linter, or CI on either side.</t>
  </si>
  <si>
    <t>Nothing guards regressions; security bugs like F-01 can quietly return.</t>
  </si>
  <si>
    <t>package.json scripts contain only dev/build/preview/start.</t>
  </si>
  <si>
    <t>Add Vitest + supertest, ESLint, and a GitHub Actions CI pipeline.</t>
  </si>
  <si>
    <t>n/a - tooling setup.</t>
  </si>
  <si>
    <t>F-18</t>
  </si>
  <si>
    <t>Backend</t>
  </si>
  <si>
    <t>Route mounting</t>
  </si>
  <si>
    <t>backend/src/index.js</t>
  </si>
  <si>
    <t>index.js:53-58</t>
  </si>
  <si>
    <t>Three routers mount under /api/feedback (writing, grammar, vocabulary) with no versioning.</t>
  </si>
  <si>
    <t>Fine today, but any future path overlap silently shadows an endpoint.</t>
  </si>
  <si>
    <t>Static: three app.use("/api/feedback", router) lines.</t>
  </si>
  <si>
    <t>Version the API (e.g. /api/v1/...) and give each router a unique prefix.</t>
  </si>
  <si>
    <t>n/a - refactor.</t>
  </si>
  <si>
    <t>F-19</t>
  </si>
  <si>
    <t>Frontend</t>
  </si>
  <si>
    <t>Code hygiene</t>
  </si>
  <si>
    <t>main.jsx:12-23</t>
  </si>
  <si>
    <t>Unused `feedback` mock constant and unused Play icon import remain. No URL router, so refresh always lands on Overview.</t>
  </si>
  <si>
    <t>Confusing code; users lose their current view on refresh.</t>
  </si>
  <si>
    <t>Static: feedback constant is not referenced by any component.</t>
  </si>
  <si>
    <t>Delete the mock; add react-router or a simple hash router.</t>
  </si>
  <si>
    <t>Click a module, refresh the page -&gt; view resets.</t>
  </si>
  <si>
    <t>TOTAL</t>
  </si>
  <si>
    <t>Findings by severity</t>
  </si>
  <si>
    <t>Total hours</t>
  </si>
  <si>
    <t>Fix Roadmap — recommended order of work</t>
  </si>
  <si>
    <t>Start with security, then correctness, then features, then hygiene. Each phase ends in a deployable state. ~138 hours total ≈ 3-4 weeks of focused part-time work.</t>
  </si>
  <si>
    <t>Phase</t>
  </si>
  <si>
    <t>#</t>
  </si>
  <si>
    <t>Finding</t>
  </si>
  <si>
    <t>Recommended action</t>
  </si>
  <si>
    <t>Blocker / note</t>
  </si>
  <si>
    <t>Phase 1 - Critical fixes</t>
  </si>
  <si>
    <t>Kill the local- token auth bypass; signed sessions only.</t>
  </si>
  <si>
    <t>Hash local-mode passwords; stop echoing passwords in API.</t>
  </si>
  <si>
    <t>Revalidate session on load via /api/auth/me.</t>
  </si>
  <si>
    <t>Enforce 250-word exam minimum; handle timer expiry.</t>
  </si>
  <si>
    <t>Phase 2 - Correctness</t>
  </si>
  <si>
    <t>Make .env loading path-independent.</t>
  </si>
  <si>
    <t>Make grammar drill selection truly random + pass difficulty.</t>
  </si>
  <si>
    <t>Count correct uses, not attempts, for vocab mastery.</t>
  </si>
  <si>
    <t>Add 7-day date filter to dashboard aggregates.</t>
  </si>
  <si>
    <t>Split grammar errors vs style suggestions in writing prompt + UI.</t>
  </si>
  <si>
    <t>Add originality/similarity guard for vocab submissions.</t>
  </si>
  <si>
    <t>Phase 3 - Features</t>
  </si>
  <si>
    <t>Wire weak_areas/recommendations into the Overview.</t>
  </si>
  <si>
    <t>Implement spaced repetition using next_review.</t>
  </si>
  <si>
    <t>Scenario selection + conversation resume + end summary.</t>
  </si>
  <si>
    <t>Replace hardcoded dashboard/sidebar UI with real data.</t>
  </si>
  <si>
    <t>Phase 4 - Hygiene &amp; deploy</t>
  </si>
  <si>
    <t>Document GROQ key requirement + startup check.</t>
  </si>
  <si>
    <t>Rebuild dist/ with correct VITE_API_URL.</t>
  </si>
  <si>
    <t>Version API routes; unique prefixes.</t>
  </si>
  <si>
    <t>Delete dead code; add URL routing.</t>
  </si>
  <si>
    <t>Add tests, lint, and CI.</t>
  </si>
  <si>
    <t>Verified working — confirmed by live testing (do not "fix")</t>
  </si>
  <si>
    <t>Item</t>
  </si>
  <si>
    <t>Validation (writing)</t>
  </si>
  <si>
    <t>Empty / 3-char input returns 400, does not reach Groq.</t>
  </si>
  <si>
    <t>Working</t>
  </si>
  <si>
    <t>Auth gating - no token</t>
  </si>
  <si>
    <t>Requests without any token correctly return 401.</t>
  </si>
  <si>
    <t>Exam band consistency</t>
  </si>
  <si>
    <t>A full essay scored 8 across all four criteria and band_estimate = 8 (no 0-9 vs 1-10 mix-up).</t>
  </si>
  <si>
    <t>Conversation AI</t>
  </si>
  <si>
    <t>AI stays in character as interviewer; context carries across turns; grammar notes accurate (i-&gt;I, dont-&gt;don't).</t>
  </si>
  <si>
    <t>Vocab nonsense detection</t>
  </si>
  <si>
    <t>"ephemeral is ephemeral" correctly flagged incorrect, sophistication 2/10.</t>
  </si>
  <si>
    <t>Error handling shape</t>
  </si>
  <si>
    <t>All routes return a consistent { success:false, error } JSON via errorHandler.</t>
  </si>
  <si>
    <t>Database checks still to run — requires the real Supabase project (SQL editor)</t>
  </si>
  <si>
    <t>Check</t>
  </si>
  <si>
    <t>Why it matters</t>
  </si>
  <si>
    <t>SQL to run (Supabase SQL editor)</t>
  </si>
  <si>
    <t>DB-1 — Count grammar_drills rows</t>
  </si>
  <si>
    <t>Seed has 3; local mode has 2. Confirm production count and pillar coverage.</t>
  </si>
  <si>
    <t>SELECT count(*), pillar FROM grammar_drills GROUP BY pillar;</t>
  </si>
  <si>
    <t>Pending</t>
  </si>
  <si>
    <t>DB-2 — Confirm grammar_attempts rows are being written</t>
  </si>
  <si>
    <t>Verify attempts actually persist per user.</t>
  </si>
  <si>
    <t>SELECT count(*), user_id FROM grammar_attempts GROUP BY user_id;</t>
  </si>
  <si>
    <t>DB-3 — Count vocabulary_words rows</t>
  </si>
  <si>
    <t>Seed has 3. Word-of-day cycling depends on this count.</t>
  </si>
  <si>
    <t>SELECT count(*) FROM vocabulary_words;</t>
  </si>
  <si>
    <t>DB-4 — vocabulary_progress next_review NULL rate</t>
  </si>
  <si>
    <t>If never set, spaced repetition is untestable.</t>
  </si>
  <si>
    <t>SELECT count(*) FILTER (WHERE next_review IS NULL), count(*) FROM vocabulary_progress;</t>
  </si>
  <si>
    <t>DB-5 — Count exam_attempts with all 4 criterion scores</t>
  </si>
  <si>
    <t>Ensure Groq scores are actually saved.</t>
  </si>
  <si>
    <t>SELECT count(*) FILTER (WHERE task_achievement IS NULL OR coherence_cohesion IS NULL OR lexical_resource IS NULL OR grammatical_accuracy IS NULL), count(*) FROM exam_attempts;</t>
  </si>
  <si>
    <t>DB-6 — Count conversation_turns + grammar_notes stored</t>
  </si>
  <si>
    <t>Verify turns and notes persist in production.</t>
  </si>
  <si>
    <t>SELECT count(*), count(grammar_notes) FROM conversation_turns;</t>
  </si>
  <si>
    <t>DB-7 — writing_submissions score_breakdown populated</t>
  </si>
  <si>
    <t>Check score_breakdown is not empty for saved rows.</t>
  </si>
  <si>
    <t>SELECT count(*) FILTER (WHERE score_breakdown = '{}'::jsonb), count(*) FROM writing_submissions;</t>
  </si>
  <si>
    <t>DB-8 — Check users.language_level distribution</t>
  </si>
  <si>
    <t>Confirm signups set a level; check for NULL/empty.</t>
  </si>
  <si>
    <t>SELECT language_level, count(*) FROM users GROUP BY language_level;</t>
  </si>
  <si>
    <t>DB-9 — Confirm RLS + orphan handling</t>
  </si>
  <si>
    <t>Validate FK constraints prevent orphaned submissions.</t>
  </si>
  <si>
    <t>\d writing_submissions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</si>
</sst>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color theme="1"/>
      <family val="2"/>
      <scheme val="minor"/>
      <sz val="11"/>
      <name val="Calibri"/>
    </font>
    <font>
      <b/>
      <color rgb="FFFFFFFF"/>
      <sz val="22"/>
    </font>
    <font>
      <i/>
      <color rgb="FF374151"/>
    </font>
    <font>
      <b/>
      <sz val="13"/>
    </font>
    <font>
      <b/>
      <color rgb="FFFFFFFF"/>
    </font>
    <font>
      <b/>
      <color rgb="FF7F1D1D"/>
      <sz val="20"/>
    </font>
    <font>
      <b/>
      <color rgb="FFC2410C"/>
      <sz val="20"/>
    </font>
    <font>
      <b/>
      <color rgb="FFA16207"/>
      <sz val="20"/>
    </font>
    <font>
      <b/>
      <color rgb="FF1D4ED8"/>
      <sz val="20"/>
    </font>
    <font>
      <b/>
    </font>
    <font>
      <color rgb="FF111827"/>
    </font>
    <font>
      <i/>
      <color rgb="FF4B5563"/>
    </font>
    <font>
      <b/>
      <color rgb="FFFFFFFF"/>
      <sz val="20"/>
    </font>
    <font>
      <color rgb="FF4338CA"/>
      <sz val="9"/>
    </font>
    <font>
      <b/>
      <color rgb="FF111827"/>
    </font>
    <font>
      <color rgb="FF0D47A1"/>
    </font>
    <font>
      <color rgb="FF37474F"/>
    </font>
    <font>
      <u/>
      <color rgb="FF0563C1"/>
    </font>
    <font>
      <b/>
      <color rgb="FFFFFFFF"/>
      <sz val="18"/>
    </font>
    <font>
      <b/>
      <color rgb="FFFFFFFF"/>
      <sz val="16"/>
    </font>
    <font>
      <sz val="10"/>
      <name val="Consolas"/>
    </font>
    <font>
      <i/>
      <color rgb="FF9A6C00"/>
    </font>
  </fonts>
  <fills count="16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F3F4F6"/>
      </patternFill>
    </fill>
    <fill>
      <patternFill patternType="solid">
        <fgColor rgb="FF7F1D1D"/>
      </patternFill>
    </fill>
    <fill>
      <patternFill patternType="solid">
        <fgColor rgb="FFC2410C"/>
      </patternFill>
    </fill>
    <fill>
      <patternFill patternType="solid">
        <fgColor rgb="FF0F172A"/>
      </patternFill>
    </fill>
    <fill>
      <patternFill patternType="solid">
        <fgColor rgb="FFE5E7EB"/>
      </patternFill>
    </fill>
    <fill>
      <patternFill patternType="solid">
        <fgColor rgb="FFF9FAFB"/>
      </patternFill>
    </fill>
    <fill>
      <patternFill patternType="solid">
        <fgColor rgb="FFEEF2FF"/>
      </patternFill>
    </fill>
    <fill>
      <patternFill patternType="solid">
        <fgColor rgb="FFD1D5DB"/>
      </patternFill>
    </fill>
    <fill>
      <patternFill patternType="solid">
        <fgColor rgb="FFFAFAFC"/>
      </patternFill>
    </fill>
    <fill>
      <patternFill patternType="solid">
        <fgColor rgb="FFA16207"/>
      </patternFill>
    </fill>
    <fill>
      <patternFill patternType="solid">
        <fgColor rgb="FF1D4ED8"/>
      </patternFill>
    </fill>
    <fill>
      <patternFill patternType="solid">
        <fgColor rgb="FF1B5E20"/>
      </patternFill>
    </fill>
    <fill>
      <patternFill patternType="solid">
        <fgColor rgb="FF0D47A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top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horizontal="center" vertical="top"/>
    </xf>
    <xf numFmtId="0" fontId="0" fillId="0" borderId="0" xfId="0" applyAlignment="1">
      <alignment vertical="top" wrapText="1"/>
    </xf>
    <xf numFmtId="0" fontId="9" fillId="7" borderId="0" xfId="0" applyFont="1" applyFill="1"/>
    <xf numFmtId="0" fontId="0" fillId="0" borderId="0" xfId="0" applyAlignment="1">
      <alignment horizontal="center"/>
    </xf>
    <xf numFmtId="0" fontId="10" fillId="0" borderId="0" xfId="0" applyFont="1" applyAlignment="1">
      <alignment vertical="top" wrapText="1"/>
    </xf>
    <xf numFmtId="0" fontId="9" fillId="7" borderId="0" xfId="0" applyFont="1" applyFill="1" applyAlignment="1">
      <alignment horizontal="center"/>
    </xf>
    <xf numFmtId="0" fontId="11" fillId="8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left" vertical="center"/>
    </xf>
    <xf numFmtId="0" fontId="14" fillId="10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0" fontId="15" fillId="0" borderId="0" xfId="0" applyFont="1" applyAlignment="1">
      <alignment horizontal="center" vertical="top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7" fillId="0" borderId="0" xfId="0" applyFont="1" applyAlignment="1">
      <alignment vertical="top"/>
    </xf>
    <xf numFmtId="0" fontId="0" fillId="11" borderId="0" xfId="0" applyFill="1" applyAlignment="1">
      <alignment vertical="top"/>
    </xf>
    <xf numFmtId="0" fontId="15" fillId="11" borderId="0" xfId="0" applyFont="1" applyFill="1" applyAlignment="1">
      <alignment horizontal="center" vertical="top"/>
    </xf>
    <xf numFmtId="0" fontId="0" fillId="11" borderId="0" xfId="0" applyFill="1" applyAlignment="1">
      <alignment horizontal="center" vertical="top"/>
    </xf>
    <xf numFmtId="0" fontId="0" fillId="11" borderId="0" xfId="0" applyFill="1" applyAlignment="1">
      <alignment horizontal="center" vertical="center"/>
    </xf>
    <xf numFmtId="0" fontId="16" fillId="11" borderId="0" xfId="0" applyFont="1" applyFill="1" applyAlignment="1">
      <alignment horizontal="center" vertical="top"/>
    </xf>
    <xf numFmtId="0" fontId="17" fillId="11" borderId="0" xfId="0" applyFont="1" applyFill="1" applyAlignment="1">
      <alignment vertical="top"/>
    </xf>
    <xf numFmtId="0" fontId="0" fillId="11" borderId="0" xfId="0" applyFill="1" applyAlignment="1">
      <alignment vertical="top" wrapText="1"/>
    </xf>
    <xf numFmtId="0" fontId="4" fillId="12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19" fillId="14" borderId="0" xfId="0" applyFont="1" applyFill="1" applyAlignment="1">
      <alignment horizontal="center" vertical="center"/>
    </xf>
    <xf numFmtId="0" fontId="9" fillId="0" borderId="0" xfId="0" applyFont="1"/>
    <xf numFmtId="0" fontId="4" fillId="14" borderId="0" xfId="0" applyFont="1" applyFill="1" applyAlignment="1">
      <alignment horizontal="center" vertical="center"/>
    </xf>
    <xf numFmtId="0" fontId="19" fillId="15" borderId="0" xfId="0" applyFont="1" applyFill="1" applyAlignment="1">
      <alignment horizontal="center" vertical="center"/>
    </xf>
    <xf numFmtId="0" fontId="9" fillId="0" borderId="0" xfId="0" applyFont="1" applyAlignment="1">
      <alignment vertical="top" wrapText="1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horizontal="center" vertical="top"/>
    </xf>
  </cellXfs>
  <cellStyles count="1">
    <cellStyle name="Normal" xfId="0" builtinId="0"/>
  </cellStyles>
  <dxfs count="4">
    <dxf>
      <font>
        <b/>
        <color rgb="FFB71C1C"/>
      </font>
      <fill>
        <patternFill patternType="solid">
          <fgColor rgb="FFFFEBEE"/>
          <bgColor rgb="FFFFEBEE"/>
        </patternFill>
      </fill>
    </dxf>
    <dxf>
      <font>
        <b/>
        <color rgb="FF9A6C00"/>
      </font>
      <fill>
        <patternFill patternType="solid">
          <fgColor rgb="FFFFF8E1"/>
          <bgColor rgb="FFFFF8E1"/>
        </patternFill>
      </fill>
    </dxf>
    <dxf>
      <font>
        <b/>
        <color rgb="FF1B5E20"/>
      </font>
      <fill>
        <patternFill patternType="solid">
          <fgColor rgb="FFE8F5E9"/>
          <bgColor rgb="FFE8F5E9"/>
        </patternFill>
      </fill>
    </dxf>
    <dxf>
      <font>
        <i/>
        <color rgb="FF455A64"/>
      </font>
      <fill>
        <patternFill patternType="solid">
          <fgColor rgb="FFECEFF1"/>
          <bgColor rgb="FFECEF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file:///D:/hardi/English Trainer/backend/src/middleware/auth.js" TargetMode="External"/><Relationship Id="rId2" Type="http://schemas.openxmlformats.org/officeDocument/2006/relationships/hyperlink" Target="file:///D:/hardi/English Trainer/backend/src/services/local.js" TargetMode="External"/><Relationship Id="rId3" Type="http://schemas.openxmlformats.org/officeDocument/2006/relationships/hyperlink" Target="file:///D:/hardi/English Trainer/backend/.env" TargetMode="External"/><Relationship Id="rId4" Type="http://schemas.openxmlformats.org/officeDocument/2006/relationships/hyperlink" Target="file:///D:/hardi/English Trainer/backend/src/config.js" TargetMode="External"/><Relationship Id="rId5" Type="http://schemas.openxmlformats.org/officeDocument/2006/relationships/hyperlink" Target="file:///D:/hardi/English Trainer/src/api.js" TargetMode="External"/><Relationship Id="rId6" Type="http://schemas.openxmlformats.org/officeDocument/2006/relationships/hyperlink" Target="file:///D:/hardi/English Trainer/backend/src/routes/grammar.js" TargetMode="External"/><Relationship Id="rId7" Type="http://schemas.openxmlformats.org/officeDocument/2006/relationships/hyperlink" Target="file:///D:/hardi/English Trainer/backend/src/routes/vocabulary.js" TargetMode="External"/><Relationship Id="rId8" Type="http://schemas.openxmlformats.org/officeDocument/2006/relationships/hyperlink" Target="file:///D:/hardi/English Trainer/src/main.jsx" TargetMode="External"/><Relationship Id="rId9" Type="http://schemas.openxmlformats.org/officeDocument/2006/relationships/hyperlink" Target="file:///D:/hardi/English Trainer/backend/src/routes/dashboard.js" TargetMode="External"/><Relationship Id="rId10" Type="http://schemas.openxmlformats.org/officeDocument/2006/relationships/hyperlink" Target="file:///D:/hardi/English Trainer/backend/src/routes/dashboard.js" TargetMode="External"/><Relationship Id="rId11" Type="http://schemas.openxmlformats.org/officeDocument/2006/relationships/hyperlink" Target="file:///D:/hardi/English Trainer/backend/src/routes/vocabulary.js" TargetMode="External"/><Relationship Id="rId12" Type="http://schemas.openxmlformats.org/officeDocument/2006/relationships/hyperlink" Target="file:///D:/hardi/English Trainer/src/main.jsx" TargetMode="External"/><Relationship Id="rId13" Type="http://schemas.openxmlformats.org/officeDocument/2006/relationships/hyperlink" Target="file:///D:/hardi/English Trainer/src/main.jsx" TargetMode="External"/><Relationship Id="rId14" Type="http://schemas.openxmlformats.org/officeDocument/2006/relationships/hyperlink" Target="file:///D:/hardi/English Trainer/backend/src/services/groq.js" TargetMode="External"/><Relationship Id="rId15" Type="http://schemas.openxmlformats.org/officeDocument/2006/relationships/hyperlink" Target="file:///D:/hardi/English Trainer/backend/src/services/groq.js" TargetMode="External"/><Relationship Id="rId16" Type="http://schemas.openxmlformats.org/officeDocument/2006/relationships/hyperlink" Target="file:///D:/hardi/English Trainer/dist/assets/index-DsUaU2xf.js" TargetMode="External"/><Relationship Id="rId17" Type="http://schemas.openxmlformats.org/officeDocument/2006/relationships/hyperlink" Target="file:///D:/hardi/English Trainer/package.json" TargetMode="External"/><Relationship Id="rId18" Type="http://schemas.openxmlformats.org/officeDocument/2006/relationships/hyperlink" Target="file:///D:/hardi/English Trainer/backend/src/index.js" TargetMode="External"/><Relationship Id="rId19" Type="http://schemas.openxmlformats.org/officeDocument/2006/relationships/hyperlink" Target="file:///D:/hardi/English Trainer/src/main.j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FormatPr defaultRowHeight="22" outlineLevelRow="0" outlineLevelCol="0" x14ac:dyDescent="55" customHeight="1"/>
  <cols>
    <col min="1" max="1" width="14" customWidth="1"/>
    <col min="2" max="2" width="16" customWidth="1"/>
    <col min="3" max="3" width="3" customWidth="1"/>
    <col min="4" max="4" width="10" customWidth="1"/>
    <col min="5" max="5" width="26" customWidth="1"/>
    <col min="6" max="6" width="12" customWidth="1"/>
    <col min="7" max="7" width="14" customWidth="1"/>
    <col min="8" max="8" width="70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8" x14ac:dyDescent="0.25">
      <c r="A4" s="3" t="s">
        <v>2</v>
      </c>
      <c r="B4" s="3"/>
      <c r="D4" s="3" t="s">
        <v>3</v>
      </c>
      <c r="E4" s="3"/>
      <c r="F4" s="3"/>
      <c r="G4" s="3"/>
      <c r="H4" s="3"/>
    </row>
    <row r="5" spans="1:8" x14ac:dyDescent="0.25">
      <c r="A5" s="4" t="s">
        <v>4</v>
      </c>
      <c r="C5" s="5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</row>
    <row r="6" ht="60" customHeight="1" spans="1:8" x14ac:dyDescent="0.25">
      <c r="A6" s="7">
        <v>2</v>
      </c>
      <c r="C6" s="8">
        <v>7</v>
      </c>
      <c r="D6" s="9">
        <v>1</v>
      </c>
      <c r="E6" s="10" t="s">
        <v>11</v>
      </c>
      <c r="F6" s="4" t="s">
        <v>4</v>
      </c>
      <c r="G6" s="11" t="s">
        <v>12</v>
      </c>
      <c r="H6" s="12" t="s">
        <v>13</v>
      </c>
    </row>
    <row r="7" ht="60" customHeight="1" spans="4:8" x14ac:dyDescent="0.25">
      <c r="D7" s="9">
        <v>2</v>
      </c>
      <c r="E7" s="12" t="s">
        <v>11</v>
      </c>
      <c r="F7" s="4" t="s">
        <v>4</v>
      </c>
      <c r="G7" s="9" t="s">
        <v>14</v>
      </c>
      <c r="H7" s="12" t="s">
        <v>15</v>
      </c>
    </row>
    <row r="8" ht="60" customHeight="1" spans="1:8" x14ac:dyDescent="0.25">
      <c r="A8" s="3" t="s">
        <v>16</v>
      </c>
      <c r="B8" s="3"/>
      <c r="D8" s="9">
        <v>3</v>
      </c>
      <c r="E8" s="12" t="s">
        <v>17</v>
      </c>
      <c r="F8" s="5" t="s">
        <v>5</v>
      </c>
      <c r="G8" s="9" t="s">
        <v>18</v>
      </c>
      <c r="H8" s="12" t="s">
        <v>19</v>
      </c>
    </row>
    <row r="9" ht="60" customHeight="1" spans="1:8" x14ac:dyDescent="0.25">
      <c r="A9" s="13" t="s">
        <v>20</v>
      </c>
      <c r="B9" s="13" t="s">
        <v>21</v>
      </c>
      <c r="D9" s="9">
        <v>4</v>
      </c>
      <c r="E9" s="12" t="s">
        <v>17</v>
      </c>
      <c r="F9" s="5" t="s">
        <v>5</v>
      </c>
      <c r="G9" s="9" t="s">
        <v>18</v>
      </c>
      <c r="H9" s="12" t="s">
        <v>22</v>
      </c>
    </row>
    <row r="10" ht="60" customHeight="1" spans="1:8" x14ac:dyDescent="0.25">
      <c r="A10" t="s">
        <v>23</v>
      </c>
      <c r="B10" s="14">
        <v>3</v>
      </c>
      <c r="D10" s="9">
        <v>5</v>
      </c>
      <c r="E10" s="12" t="s">
        <v>24</v>
      </c>
      <c r="F10" s="5" t="s">
        <v>5</v>
      </c>
      <c r="G10" s="9" t="s">
        <v>25</v>
      </c>
      <c r="H10" s="12" t="s">
        <v>26</v>
      </c>
    </row>
    <row r="11" spans="1:2" x14ac:dyDescent="0.25">
      <c r="A11" t="s">
        <v>27</v>
      </c>
      <c r="B11" s="14">
        <v>3</v>
      </c>
    </row>
    <row r="12" spans="1:8" x14ac:dyDescent="0.25">
      <c r="A12" t="s">
        <v>28</v>
      </c>
      <c r="B12" s="14">
        <v>2</v>
      </c>
      <c r="D12" s="3" t="s">
        <v>29</v>
      </c>
      <c r="E12" s="3"/>
      <c r="F12" s="3"/>
      <c r="G12" s="3"/>
      <c r="H12" s="3"/>
    </row>
    <row r="13" spans="1:8" x14ac:dyDescent="0.25">
      <c r="A13" t="s">
        <v>30</v>
      </c>
      <c r="B13" s="14">
        <v>2</v>
      </c>
      <c r="D13" s="15" t="s">
        <v>31</v>
      </c>
      <c r="E13" s="15"/>
      <c r="F13" s="15"/>
      <c r="G13" s="15"/>
      <c r="H13" s="15"/>
    </row>
    <row r="14" spans="1:8" x14ac:dyDescent="0.25">
      <c r="A14" t="s">
        <v>32</v>
      </c>
      <c r="B14" s="14">
        <v>1</v>
      </c>
      <c r="D14" s="15"/>
      <c r="E14" s="15"/>
      <c r="F14" s="15"/>
      <c r="G14" s="15"/>
      <c r="H14" s="15"/>
    </row>
    <row r="15" spans="1:8" x14ac:dyDescent="0.25">
      <c r="A15" t="s">
        <v>33</v>
      </c>
      <c r="B15" s="14">
        <v>1</v>
      </c>
      <c r="D15" s="15"/>
      <c r="E15" s="15"/>
      <c r="F15" s="15"/>
      <c r="G15" s="15"/>
      <c r="H15" s="15"/>
    </row>
    <row r="16" spans="1:8" x14ac:dyDescent="0.25">
      <c r="A16" t="s">
        <v>34</v>
      </c>
      <c r="B16" s="14">
        <v>1</v>
      </c>
      <c r="D16" s="15"/>
      <c r="E16" s="15"/>
      <c r="F16" s="15"/>
      <c r="G16" s="15"/>
      <c r="H16" s="15"/>
    </row>
    <row r="17" spans="1:8" x14ac:dyDescent="0.25">
      <c r="A17" t="s">
        <v>35</v>
      </c>
      <c r="B17" s="14">
        <v>1</v>
      </c>
      <c r="D17" s="15"/>
      <c r="E17" s="15"/>
      <c r="F17" s="15"/>
      <c r="G17" s="15"/>
      <c r="H17" s="15"/>
    </row>
    <row r="18" spans="1:2" x14ac:dyDescent="0.25">
      <c r="A18" s="3" t="s">
        <v>36</v>
      </c>
      <c r="B18" s="3"/>
    </row>
    <row r="19" spans="1:2" x14ac:dyDescent="0.25">
      <c r="A19" s="13" t="s">
        <v>37</v>
      </c>
      <c r="B19" s="16" t="s">
        <v>21</v>
      </c>
    </row>
    <row r="20" spans="1:2" x14ac:dyDescent="0.25">
      <c r="A20" t="s">
        <v>38</v>
      </c>
      <c r="B20" s="14">
        <v>2</v>
      </c>
    </row>
    <row r="21" spans="1:2" x14ac:dyDescent="0.25">
      <c r="A21" t="s">
        <v>39</v>
      </c>
      <c r="B21" s="14">
        <v>2</v>
      </c>
    </row>
    <row r="22" spans="1:2" x14ac:dyDescent="0.25">
      <c r="A22" t="s">
        <v>40</v>
      </c>
      <c r="B22" s="14">
        <v>2</v>
      </c>
    </row>
    <row r="23" spans="1:2" x14ac:dyDescent="0.25">
      <c r="A23" t="s">
        <v>41</v>
      </c>
      <c r="B23" s="14">
        <v>2</v>
      </c>
    </row>
    <row r="24" spans="1:2" x14ac:dyDescent="0.25">
      <c r="A24" t="s">
        <v>42</v>
      </c>
      <c r="B24" s="14">
        <v>1</v>
      </c>
    </row>
    <row r="25" spans="1:2" x14ac:dyDescent="0.25">
      <c r="A25" t="s">
        <v>43</v>
      </c>
      <c r="B25" s="14">
        <v>1</v>
      </c>
    </row>
    <row r="26" spans="1:4" x14ac:dyDescent="0.25">
      <c r="A26" s="17" t="s">
        <v>44</v>
      </c>
      <c r="B26" s="17"/>
      <c r="C26" s="17"/>
      <c r="D26" s="17"/>
    </row>
    <row r="27" spans="1:2" x14ac:dyDescent="0.25">
      <c r="A27" t="s">
        <v>45</v>
      </c>
      <c r="B27" s="14">
        <v>1</v>
      </c>
    </row>
    <row r="28" spans="1:2" x14ac:dyDescent="0.25">
      <c r="A28" t="s">
        <v>46</v>
      </c>
      <c r="B28" s="14">
        <v>1</v>
      </c>
    </row>
    <row r="29" spans="1:2" x14ac:dyDescent="0.25">
      <c r="A29" t="s">
        <v>47</v>
      </c>
      <c r="B29" s="14">
        <v>1</v>
      </c>
    </row>
    <row r="30" spans="1:2" x14ac:dyDescent="0.25">
      <c r="A30" t="s">
        <v>48</v>
      </c>
      <c r="B30" s="14">
        <v>1</v>
      </c>
    </row>
    <row r="31" spans="1:2" x14ac:dyDescent="0.25">
      <c r="A31" t="s">
        <v>49</v>
      </c>
      <c r="B31" s="14">
        <v>1</v>
      </c>
    </row>
    <row r="32" spans="1:2" x14ac:dyDescent="0.25">
      <c r="A32" t="s">
        <v>50</v>
      </c>
      <c r="B32" s="14">
        <v>1</v>
      </c>
    </row>
    <row r="33" spans="1:2" x14ac:dyDescent="0.25">
      <c r="A33" t="s">
        <v>51</v>
      </c>
      <c r="B33" s="14">
        <v>1</v>
      </c>
    </row>
    <row r="34" spans="1:2" x14ac:dyDescent="0.25">
      <c r="A34" t="s">
        <v>52</v>
      </c>
      <c r="B34" s="14">
        <v>1</v>
      </c>
    </row>
  </sheetData>
  <mergeCells count="9">
    <mergeCell ref="A1:H1"/>
    <mergeCell ref="A2:H2"/>
    <mergeCell ref="A4:B4"/>
    <mergeCell ref="D4:H4"/>
    <mergeCell ref="A8:B8"/>
    <mergeCell ref="D12:H12"/>
    <mergeCell ref="D13:H17"/>
    <mergeCell ref="A18:B18"/>
    <mergeCell ref="A26:D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workbookViewId="0">
      <pane xSplit="2" ySplit="4" topLeftCell="C5" activePane="bottomRight" state="frozen"/>
      <selection pane="bottomRight"/>
    </sheetView>
  </sheetViews>
  <sheetFormatPr defaultRowHeight="52" outlineLevelRow="0" outlineLevelCol="0" x14ac:dyDescent="55" customHeight="1"/>
  <cols>
    <col min="1" max="1" width="6" customWidth="1"/>
    <col min="2" max="2" width="8" customWidth="1"/>
    <col min="3" max="3" width="12" customWidth="1"/>
    <col min="4" max="4" width="22" customWidth="1"/>
    <col min="5" max="5" width="12" customWidth="1"/>
    <col min="6" max="6" width="11" customWidth="1"/>
    <col min="7" max="7" width="18" customWidth="1"/>
    <col min="8" max="8" width="10" customWidth="1"/>
    <col min="9" max="9" width="8" customWidth="1"/>
    <col min="10" max="10" width="36" customWidth="1"/>
    <col min="11" max="11" width="20" customWidth="1"/>
    <col min="12" max="12" width="48" customWidth="1"/>
    <col min="13" max="13" width="40" customWidth="1"/>
    <col min="14" max="15" width="46" customWidth="1"/>
    <col min="16" max="16" width="40" customWidth="1"/>
  </cols>
  <sheetData>
    <row r="1" ht="34" customHeight="1" spans="1:16" x14ac:dyDescent="0.25">
      <c r="A1" s="18" t="s">
        <v>53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ht="24" customHeight="1" spans="1:16" x14ac:dyDescent="0.25">
      <c r="A2" s="2" t="s">
        <v>54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x14ac:dyDescent="0.25">
      <c r="A3" s="19" t="s">
        <v>55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</row>
    <row r="4" ht="30" customHeight="1" spans="1:16" x14ac:dyDescent="0.25">
      <c r="A4" s="20" t="s">
        <v>56</v>
      </c>
      <c r="B4" s="20" t="s">
        <v>6</v>
      </c>
      <c r="C4" s="20" t="s">
        <v>20</v>
      </c>
      <c r="D4" s="20" t="s">
        <v>7</v>
      </c>
      <c r="E4" s="20" t="s">
        <v>57</v>
      </c>
      <c r="F4" s="20" t="s">
        <v>8</v>
      </c>
      <c r="G4" s="20" t="s">
        <v>37</v>
      </c>
      <c r="H4" s="20" t="s">
        <v>9</v>
      </c>
      <c r="I4" s="20" t="s">
        <v>58</v>
      </c>
      <c r="J4" s="20" t="s">
        <v>59</v>
      </c>
      <c r="K4" s="20" t="s">
        <v>60</v>
      </c>
      <c r="L4" s="20" t="s">
        <v>61</v>
      </c>
      <c r="M4" s="20" t="s">
        <v>62</v>
      </c>
      <c r="N4" s="20" t="s">
        <v>63</v>
      </c>
      <c r="O4" s="20" t="s">
        <v>64</v>
      </c>
      <c r="P4" s="20" t="s">
        <v>65</v>
      </c>
    </row>
    <row r="5" ht="64" customHeight="1" spans="1:16" x14ac:dyDescent="0.25">
      <c r="A5" s="21" t="s">
        <v>66</v>
      </c>
      <c r="B5" s="22">
        <v>1</v>
      </c>
      <c r="C5" s="9" t="s">
        <v>23</v>
      </c>
      <c r="D5" s="21" t="s">
        <v>11</v>
      </c>
      <c r="E5" s="23" t="s">
        <v>67</v>
      </c>
      <c r="F5" s="4" t="s">
        <v>4</v>
      </c>
      <c r="G5" s="21" t="s">
        <v>38</v>
      </c>
      <c r="H5" s="21" t="s">
        <v>12</v>
      </c>
      <c r="I5" s="24">
        <v>12</v>
      </c>
      <c r="J5" s="25" t="s">
        <v>68</v>
      </c>
      <c r="K5" s="12" t="s">
        <v>69</v>
      </c>
      <c r="L5" s="12" t="s">
        <v>13</v>
      </c>
      <c r="M5" s="12" t="s">
        <v>70</v>
      </c>
      <c r="N5" s="12" t="s">
        <v>71</v>
      </c>
      <c r="O5" s="12" t="s">
        <v>72</v>
      </c>
      <c r="P5" s="12" t="s">
        <v>73</v>
      </c>
    </row>
    <row r="6" ht="64" customHeight="1" spans="1:16" x14ac:dyDescent="0.25">
      <c r="A6" s="26" t="s">
        <v>74</v>
      </c>
      <c r="B6" s="27">
        <v>2</v>
      </c>
      <c r="C6" s="28" t="s">
        <v>23</v>
      </c>
      <c r="D6" s="26" t="s">
        <v>11</v>
      </c>
      <c r="E6" s="29" t="s">
        <v>67</v>
      </c>
      <c r="F6" s="4" t="s">
        <v>4</v>
      </c>
      <c r="G6" s="26" t="s">
        <v>38</v>
      </c>
      <c r="H6" s="26" t="s">
        <v>14</v>
      </c>
      <c r="I6" s="30">
        <v>6</v>
      </c>
      <c r="J6" s="31" t="s">
        <v>75</v>
      </c>
      <c r="K6" s="32" t="s">
        <v>76</v>
      </c>
      <c r="L6" s="32" t="s">
        <v>15</v>
      </c>
      <c r="M6" s="32" t="s">
        <v>77</v>
      </c>
      <c r="N6" s="32" t="s">
        <v>78</v>
      </c>
      <c r="O6" s="32" t="s">
        <v>79</v>
      </c>
      <c r="P6" s="32" t="s">
        <v>80</v>
      </c>
    </row>
    <row r="7" ht="64" customHeight="1" spans="1:16" x14ac:dyDescent="0.25">
      <c r="A7" s="21" t="s">
        <v>81</v>
      </c>
      <c r="B7" s="22">
        <v>3</v>
      </c>
      <c r="C7" s="9" t="s">
        <v>28</v>
      </c>
      <c r="D7" s="21" t="s">
        <v>17</v>
      </c>
      <c r="E7" s="23" t="s">
        <v>67</v>
      </c>
      <c r="F7" s="5" t="s">
        <v>5</v>
      </c>
      <c r="G7" s="21" t="s">
        <v>42</v>
      </c>
      <c r="H7" s="21" t="s">
        <v>18</v>
      </c>
      <c r="I7" s="24">
        <v>4</v>
      </c>
      <c r="J7" s="25" t="s">
        <v>82</v>
      </c>
      <c r="K7" s="12" t="s">
        <v>83</v>
      </c>
      <c r="L7" s="12" t="s">
        <v>19</v>
      </c>
      <c r="M7" s="12" t="s">
        <v>84</v>
      </c>
      <c r="N7" s="12" t="s">
        <v>85</v>
      </c>
      <c r="O7" s="12" t="s">
        <v>86</v>
      </c>
      <c r="P7" s="12" t="s">
        <v>87</v>
      </c>
    </row>
    <row r="8" ht="64" customHeight="1" spans="1:16" x14ac:dyDescent="0.25">
      <c r="A8" s="26" t="s">
        <v>88</v>
      </c>
      <c r="B8" s="27">
        <v>4</v>
      </c>
      <c r="C8" s="28" t="s">
        <v>28</v>
      </c>
      <c r="D8" s="26" t="s">
        <v>17</v>
      </c>
      <c r="E8" s="29" t="s">
        <v>67</v>
      </c>
      <c r="F8" s="5" t="s">
        <v>5</v>
      </c>
      <c r="G8" s="26" t="s">
        <v>43</v>
      </c>
      <c r="H8" s="26" t="s">
        <v>18</v>
      </c>
      <c r="I8" s="30">
        <v>4</v>
      </c>
      <c r="J8" s="31" t="s">
        <v>89</v>
      </c>
      <c r="K8" s="32" t="s">
        <v>90</v>
      </c>
      <c r="L8" s="32" t="s">
        <v>22</v>
      </c>
      <c r="M8" s="32" t="s">
        <v>91</v>
      </c>
      <c r="N8" s="32" t="s">
        <v>92</v>
      </c>
      <c r="O8" s="32" t="s">
        <v>93</v>
      </c>
      <c r="P8" s="32" t="s">
        <v>94</v>
      </c>
    </row>
    <row r="9" ht="64" customHeight="1" spans="1:16" x14ac:dyDescent="0.25">
      <c r="A9" s="21" t="s">
        <v>95</v>
      </c>
      <c r="B9" s="22">
        <v>5</v>
      </c>
      <c r="C9" s="9" t="s">
        <v>32</v>
      </c>
      <c r="D9" s="21" t="s">
        <v>24</v>
      </c>
      <c r="E9" s="23" t="s">
        <v>67</v>
      </c>
      <c r="F9" s="5" t="s">
        <v>5</v>
      </c>
      <c r="G9" s="21" t="s">
        <v>96</v>
      </c>
      <c r="H9" s="21" t="s">
        <v>25</v>
      </c>
      <c r="I9" s="24">
        <v>8</v>
      </c>
      <c r="J9" s="25" t="s">
        <v>97</v>
      </c>
      <c r="K9" s="12" t="s">
        <v>98</v>
      </c>
      <c r="L9" s="12" t="s">
        <v>26</v>
      </c>
      <c r="M9" s="12" t="s">
        <v>99</v>
      </c>
      <c r="N9" s="12" t="s">
        <v>100</v>
      </c>
      <c r="O9" s="12" t="s">
        <v>101</v>
      </c>
      <c r="P9" s="12" t="s">
        <v>102</v>
      </c>
    </row>
    <row r="10" ht="64" customHeight="1" spans="1:16" x14ac:dyDescent="0.25">
      <c r="A10" s="26" t="s">
        <v>103</v>
      </c>
      <c r="B10" s="27">
        <v>6</v>
      </c>
      <c r="C10" s="28" t="s">
        <v>33</v>
      </c>
      <c r="D10" s="26" t="s">
        <v>104</v>
      </c>
      <c r="E10" s="29" t="s">
        <v>67</v>
      </c>
      <c r="F10" s="5" t="s">
        <v>5</v>
      </c>
      <c r="G10" s="26" t="s">
        <v>39</v>
      </c>
      <c r="H10" s="26" t="s">
        <v>14</v>
      </c>
      <c r="I10" s="30">
        <v>6</v>
      </c>
      <c r="J10" s="31" t="s">
        <v>105</v>
      </c>
      <c r="K10" s="32" t="s">
        <v>106</v>
      </c>
      <c r="L10" s="32" t="s">
        <v>107</v>
      </c>
      <c r="M10" s="32" t="s">
        <v>108</v>
      </c>
      <c r="N10" s="32" t="s">
        <v>109</v>
      </c>
      <c r="O10" s="32" t="s">
        <v>110</v>
      </c>
      <c r="P10" s="32" t="s">
        <v>111</v>
      </c>
    </row>
    <row r="11" ht="64" customHeight="1" spans="1:16" x14ac:dyDescent="0.25">
      <c r="A11" s="21" t="s">
        <v>112</v>
      </c>
      <c r="B11" s="22">
        <v>7</v>
      </c>
      <c r="C11" s="9" t="s">
        <v>27</v>
      </c>
      <c r="D11" s="21" t="s">
        <v>113</v>
      </c>
      <c r="E11" s="23" t="s">
        <v>67</v>
      </c>
      <c r="F11" s="5" t="s">
        <v>5</v>
      </c>
      <c r="G11" s="21" t="s">
        <v>45</v>
      </c>
      <c r="H11" s="21" t="s">
        <v>18</v>
      </c>
      <c r="I11" s="24">
        <v>4</v>
      </c>
      <c r="J11" s="25" t="s">
        <v>114</v>
      </c>
      <c r="K11" s="12" t="s">
        <v>115</v>
      </c>
      <c r="L11" s="12" t="s">
        <v>116</v>
      </c>
      <c r="M11" s="12" t="s">
        <v>117</v>
      </c>
      <c r="N11" s="12" t="s">
        <v>118</v>
      </c>
      <c r="O11" s="12" t="s">
        <v>119</v>
      </c>
      <c r="P11" s="12" t="s">
        <v>120</v>
      </c>
    </row>
    <row r="12" ht="64" customHeight="1" spans="1:16" x14ac:dyDescent="0.25">
      <c r="A12" s="26" t="s">
        <v>121</v>
      </c>
      <c r="B12" s="27">
        <v>8</v>
      </c>
      <c r="C12" s="28" t="s">
        <v>23</v>
      </c>
      <c r="D12" s="26" t="s">
        <v>122</v>
      </c>
      <c r="E12" s="29" t="s">
        <v>67</v>
      </c>
      <c r="F12" s="5" t="s">
        <v>5</v>
      </c>
      <c r="G12" s="26" t="s">
        <v>39</v>
      </c>
      <c r="H12" s="26" t="s">
        <v>25</v>
      </c>
      <c r="I12" s="30">
        <v>8</v>
      </c>
      <c r="J12" s="31" t="s">
        <v>123</v>
      </c>
      <c r="K12" s="32" t="s">
        <v>124</v>
      </c>
      <c r="L12" s="32" t="s">
        <v>125</v>
      </c>
      <c r="M12" s="32" t="s">
        <v>126</v>
      </c>
      <c r="N12" s="32" t="s">
        <v>127</v>
      </c>
      <c r="O12" s="32" t="s">
        <v>128</v>
      </c>
      <c r="P12" s="32" t="s">
        <v>129</v>
      </c>
    </row>
    <row r="13" ht="64" customHeight="1" spans="1:16" x14ac:dyDescent="0.25">
      <c r="A13" s="21" t="s">
        <v>130</v>
      </c>
      <c r="B13" s="22">
        <v>9</v>
      </c>
      <c r="C13" s="9" t="s">
        <v>30</v>
      </c>
      <c r="D13" s="21" t="s">
        <v>131</v>
      </c>
      <c r="E13" s="23" t="s">
        <v>67</v>
      </c>
      <c r="F13" s="5" t="s">
        <v>5</v>
      </c>
      <c r="G13" s="21" t="s">
        <v>46</v>
      </c>
      <c r="H13" s="21" t="s">
        <v>25</v>
      </c>
      <c r="I13" s="24">
        <v>8</v>
      </c>
      <c r="J13" s="25" t="s">
        <v>132</v>
      </c>
      <c r="K13" s="12" t="s">
        <v>133</v>
      </c>
      <c r="L13" s="12" t="s">
        <v>134</v>
      </c>
      <c r="M13" s="12" t="s">
        <v>135</v>
      </c>
      <c r="N13" s="12" t="s">
        <v>136</v>
      </c>
      <c r="O13" s="12" t="s">
        <v>137</v>
      </c>
      <c r="P13" s="12" t="s">
        <v>138</v>
      </c>
    </row>
    <row r="14" ht="64" customHeight="1" spans="1:16" x14ac:dyDescent="0.25">
      <c r="A14" s="26" t="s">
        <v>139</v>
      </c>
      <c r="B14" s="27">
        <v>10</v>
      </c>
      <c r="C14" s="28" t="s">
        <v>30</v>
      </c>
      <c r="D14" s="26" t="s">
        <v>140</v>
      </c>
      <c r="E14" s="29" t="s">
        <v>67</v>
      </c>
      <c r="F14" s="33" t="s">
        <v>141</v>
      </c>
      <c r="G14" s="26" t="s">
        <v>47</v>
      </c>
      <c r="H14" s="26" t="s">
        <v>25</v>
      </c>
      <c r="I14" s="30">
        <v>8</v>
      </c>
      <c r="J14" s="31" t="s">
        <v>142</v>
      </c>
      <c r="K14" s="32" t="s">
        <v>143</v>
      </c>
      <c r="L14" s="32" t="s">
        <v>144</v>
      </c>
      <c r="M14" s="32" t="s">
        <v>145</v>
      </c>
      <c r="N14" s="32" t="s">
        <v>146</v>
      </c>
      <c r="O14" s="32" t="s">
        <v>147</v>
      </c>
      <c r="P14" s="32" t="s">
        <v>148</v>
      </c>
    </row>
    <row r="15" ht="64" customHeight="1" spans="1:16" x14ac:dyDescent="0.25">
      <c r="A15" s="21" t="s">
        <v>149</v>
      </c>
      <c r="B15" s="22">
        <v>11</v>
      </c>
      <c r="C15" s="9" t="s">
        <v>27</v>
      </c>
      <c r="D15" s="21" t="s">
        <v>150</v>
      </c>
      <c r="E15" s="23" t="s">
        <v>67</v>
      </c>
      <c r="F15" s="33" t="s">
        <v>141</v>
      </c>
      <c r="G15" s="21" t="s">
        <v>40</v>
      </c>
      <c r="H15" s="21" t="s">
        <v>12</v>
      </c>
      <c r="I15" s="24">
        <v>12</v>
      </c>
      <c r="J15" s="25" t="s">
        <v>151</v>
      </c>
      <c r="K15" s="12" t="s">
        <v>152</v>
      </c>
      <c r="L15" s="12" t="s">
        <v>153</v>
      </c>
      <c r="M15" s="12" t="s">
        <v>154</v>
      </c>
      <c r="N15" s="12" t="s">
        <v>155</v>
      </c>
      <c r="O15" s="12" t="s">
        <v>156</v>
      </c>
      <c r="P15" s="12" t="s">
        <v>157</v>
      </c>
    </row>
    <row r="16" ht="64" customHeight="1" spans="1:16" x14ac:dyDescent="0.25">
      <c r="A16" s="26" t="s">
        <v>158</v>
      </c>
      <c r="B16" s="27">
        <v>12</v>
      </c>
      <c r="C16" s="28" t="s">
        <v>34</v>
      </c>
      <c r="D16" s="26" t="s">
        <v>159</v>
      </c>
      <c r="E16" s="29" t="s">
        <v>67</v>
      </c>
      <c r="F16" s="33" t="s">
        <v>141</v>
      </c>
      <c r="G16" s="26" t="s">
        <v>48</v>
      </c>
      <c r="H16" s="26" t="s">
        <v>14</v>
      </c>
      <c r="I16" s="30">
        <v>6</v>
      </c>
      <c r="J16" s="31" t="s">
        <v>160</v>
      </c>
      <c r="K16" s="32" t="s">
        <v>161</v>
      </c>
      <c r="L16" s="32" t="s">
        <v>162</v>
      </c>
      <c r="M16" s="32" t="s">
        <v>163</v>
      </c>
      <c r="N16" s="32" t="s">
        <v>164</v>
      </c>
      <c r="O16" s="32" t="s">
        <v>165</v>
      </c>
      <c r="P16" s="32" t="s">
        <v>166</v>
      </c>
    </row>
    <row r="17" ht="64" customHeight="1" spans="1:16" x14ac:dyDescent="0.25">
      <c r="A17" s="21" t="s">
        <v>167</v>
      </c>
      <c r="B17" s="22">
        <v>13</v>
      </c>
      <c r="C17" s="9" t="s">
        <v>35</v>
      </c>
      <c r="D17" s="21" t="s">
        <v>35</v>
      </c>
      <c r="E17" s="23" t="s">
        <v>67</v>
      </c>
      <c r="F17" s="33" t="s">
        <v>141</v>
      </c>
      <c r="G17" s="21" t="s">
        <v>40</v>
      </c>
      <c r="H17" s="21" t="s">
        <v>12</v>
      </c>
      <c r="I17" s="24">
        <v>12</v>
      </c>
      <c r="J17" s="25" t="s">
        <v>168</v>
      </c>
      <c r="K17" s="12" t="s">
        <v>169</v>
      </c>
      <c r="L17" s="12" t="s">
        <v>170</v>
      </c>
      <c r="M17" s="12" t="s">
        <v>171</v>
      </c>
      <c r="N17" s="12" t="s">
        <v>172</v>
      </c>
      <c r="O17" s="12" t="s">
        <v>173</v>
      </c>
      <c r="P17" s="12" t="s">
        <v>174</v>
      </c>
    </row>
    <row r="18" ht="64" customHeight="1" spans="1:16" x14ac:dyDescent="0.25">
      <c r="A18" s="26" t="s">
        <v>175</v>
      </c>
      <c r="B18" s="27">
        <v>14</v>
      </c>
      <c r="C18" s="28" t="s">
        <v>176</v>
      </c>
      <c r="D18" s="26" t="s">
        <v>177</v>
      </c>
      <c r="E18" s="29" t="s">
        <v>67</v>
      </c>
      <c r="F18" s="33" t="s">
        <v>141</v>
      </c>
      <c r="G18" s="26" t="s">
        <v>41</v>
      </c>
      <c r="H18" s="26" t="s">
        <v>25</v>
      </c>
      <c r="I18" s="30">
        <v>8</v>
      </c>
      <c r="J18" s="31" t="s">
        <v>178</v>
      </c>
      <c r="K18" s="32" t="s">
        <v>179</v>
      </c>
      <c r="L18" s="32" t="s">
        <v>180</v>
      </c>
      <c r="M18" s="32" t="s">
        <v>181</v>
      </c>
      <c r="N18" s="32" t="s">
        <v>182</v>
      </c>
      <c r="O18" s="32" t="s">
        <v>183</v>
      </c>
      <c r="P18" s="32" t="s">
        <v>184</v>
      </c>
    </row>
    <row r="19" ht="64" customHeight="1" spans="1:16" x14ac:dyDescent="0.25">
      <c r="A19" s="21" t="s">
        <v>185</v>
      </c>
      <c r="B19" s="22">
        <v>15</v>
      </c>
      <c r="C19" s="9" t="s">
        <v>27</v>
      </c>
      <c r="D19" s="21" t="s">
        <v>186</v>
      </c>
      <c r="E19" s="23" t="s">
        <v>67</v>
      </c>
      <c r="F19" s="33" t="s">
        <v>141</v>
      </c>
      <c r="G19" s="21" t="s">
        <v>41</v>
      </c>
      <c r="H19" s="21" t="s">
        <v>25</v>
      </c>
      <c r="I19" s="24">
        <v>8</v>
      </c>
      <c r="J19" s="25" t="s">
        <v>187</v>
      </c>
      <c r="K19" s="12" t="s">
        <v>188</v>
      </c>
      <c r="L19" s="12" t="s">
        <v>189</v>
      </c>
      <c r="M19" s="12" t="s">
        <v>190</v>
      </c>
      <c r="N19" s="12" t="s">
        <v>191</v>
      </c>
      <c r="O19" s="12" t="s">
        <v>192</v>
      </c>
      <c r="P19" s="12" t="s">
        <v>193</v>
      </c>
    </row>
    <row r="20" ht="64" customHeight="1" spans="1:16" x14ac:dyDescent="0.25">
      <c r="A20" s="26" t="s">
        <v>194</v>
      </c>
      <c r="B20" s="27">
        <v>16</v>
      </c>
      <c r="C20" s="28" t="s">
        <v>195</v>
      </c>
      <c r="D20" s="26" t="s">
        <v>196</v>
      </c>
      <c r="E20" s="29" t="s">
        <v>67</v>
      </c>
      <c r="F20" s="34" t="s">
        <v>197</v>
      </c>
      <c r="G20" s="26" t="s">
        <v>49</v>
      </c>
      <c r="H20" s="26" t="s">
        <v>18</v>
      </c>
      <c r="I20" s="30">
        <v>4</v>
      </c>
      <c r="J20" s="31" t="s">
        <v>198</v>
      </c>
      <c r="K20" s="32" t="s">
        <v>199</v>
      </c>
      <c r="L20" s="32" t="s">
        <v>200</v>
      </c>
      <c r="M20" s="32" t="s">
        <v>201</v>
      </c>
      <c r="N20" s="32" t="s">
        <v>202</v>
      </c>
      <c r="O20" s="32" t="s">
        <v>203</v>
      </c>
      <c r="P20" s="32" t="s">
        <v>204</v>
      </c>
    </row>
    <row r="21" ht="64" customHeight="1" spans="1:16" x14ac:dyDescent="0.25">
      <c r="A21" s="21" t="s">
        <v>205</v>
      </c>
      <c r="B21" s="22">
        <v>17</v>
      </c>
      <c r="C21" s="9" t="s">
        <v>206</v>
      </c>
      <c r="D21" s="21" t="s">
        <v>207</v>
      </c>
      <c r="E21" s="23" t="s">
        <v>67</v>
      </c>
      <c r="F21" s="34" t="s">
        <v>197</v>
      </c>
      <c r="G21" s="21" t="s">
        <v>50</v>
      </c>
      <c r="H21" s="21" t="s">
        <v>12</v>
      </c>
      <c r="I21" s="24">
        <v>12</v>
      </c>
      <c r="J21" s="25" t="s">
        <v>208</v>
      </c>
      <c r="K21" s="12" t="s">
        <v>209</v>
      </c>
      <c r="L21" s="12" t="s">
        <v>210</v>
      </c>
      <c r="M21" s="12" t="s">
        <v>211</v>
      </c>
      <c r="N21" s="12" t="s">
        <v>212</v>
      </c>
      <c r="O21" s="12" t="s">
        <v>213</v>
      </c>
      <c r="P21" s="12" t="s">
        <v>214</v>
      </c>
    </row>
    <row r="22" ht="64" customHeight="1" spans="1:16" x14ac:dyDescent="0.25">
      <c r="A22" s="26" t="s">
        <v>215</v>
      </c>
      <c r="B22" s="27">
        <v>18</v>
      </c>
      <c r="C22" s="28" t="s">
        <v>216</v>
      </c>
      <c r="D22" s="26" t="s">
        <v>217</v>
      </c>
      <c r="E22" s="29" t="s">
        <v>67</v>
      </c>
      <c r="F22" s="34" t="s">
        <v>197</v>
      </c>
      <c r="G22" s="26" t="s">
        <v>51</v>
      </c>
      <c r="H22" s="26" t="s">
        <v>18</v>
      </c>
      <c r="I22" s="30">
        <v>4</v>
      </c>
      <c r="J22" s="31" t="s">
        <v>218</v>
      </c>
      <c r="K22" s="32" t="s">
        <v>219</v>
      </c>
      <c r="L22" s="32" t="s">
        <v>220</v>
      </c>
      <c r="M22" s="32" t="s">
        <v>221</v>
      </c>
      <c r="N22" s="32" t="s">
        <v>222</v>
      </c>
      <c r="O22" s="32" t="s">
        <v>223</v>
      </c>
      <c r="P22" s="32" t="s">
        <v>224</v>
      </c>
    </row>
    <row r="23" ht="64" customHeight="1" spans="1:16" x14ac:dyDescent="0.25">
      <c r="A23" s="21" t="s">
        <v>225</v>
      </c>
      <c r="B23" s="22">
        <v>19</v>
      </c>
      <c r="C23" s="9" t="s">
        <v>226</v>
      </c>
      <c r="D23" s="21" t="s">
        <v>227</v>
      </c>
      <c r="E23" s="23" t="s">
        <v>67</v>
      </c>
      <c r="F23" s="34" t="s">
        <v>197</v>
      </c>
      <c r="G23" s="21" t="s">
        <v>52</v>
      </c>
      <c r="H23" s="21" t="s">
        <v>18</v>
      </c>
      <c r="I23" s="24">
        <v>4</v>
      </c>
      <c r="J23" s="25" t="s">
        <v>123</v>
      </c>
      <c r="K23" s="12" t="s">
        <v>228</v>
      </c>
      <c r="L23" s="12" t="s">
        <v>229</v>
      </c>
      <c r="M23" s="12" t="s">
        <v>230</v>
      </c>
      <c r="N23" s="12" t="s">
        <v>231</v>
      </c>
      <c r="O23" s="12" t="s">
        <v>232</v>
      </c>
      <c r="P23" s="12" t="s">
        <v>233</v>
      </c>
    </row>
    <row r="24" spans="1:16" s="13" customFormat="1" x14ac:dyDescent="0.25">
      <c r="A24" s="13" t="s">
        <v>234</v>
      </c>
      <c r="B24" s="13"/>
      <c r="C24" s="13"/>
      <c r="D24" s="13" t="s">
        <v>235</v>
      </c>
      <c r="E24" s="13"/>
      <c r="F24" s="13"/>
      <c r="G24" s="13"/>
      <c r="H24" s="13" t="s">
        <v>236</v>
      </c>
      <c r="I24" s="13">
        <v>138</v>
      </c>
      <c r="J24" s="13"/>
      <c r="K24" s="13"/>
      <c r="L24" s="13" t="str">
        <f>COUNTIF(F5:F23,"Critical")&amp;" critical / "&amp;COUNTIF(F5:F23,"High")&amp;" high / "&amp;COUNTIF(F5:F23,"Medium")&amp;" medium / "&amp;COUNTIF(F5:F23,"Low")&amp;" low"</f>
        <v>2 critical / 7 high / 6 medium / 4 low</v>
      </c>
      <c r="M24" s="13"/>
      <c r="N24" s="13"/>
      <c r="O24" s="13"/>
      <c r="P24" s="13"/>
    </row>
  </sheetData>
  <autoFilter ref="A4:P23"/>
  <mergeCells count="3">
    <mergeCell ref="A1:P1"/>
    <mergeCell ref="A2:P2"/>
    <mergeCell ref="A3:P3"/>
  </mergeCells>
  <conditionalFormatting sqref="E5:E23">
    <cfRule type="cellIs" dxfId="0" priority="1" operator="equal">
      <formula>"Open"</formula>
    </cfRule>
    <cfRule type="cellIs" dxfId="1" priority="2" operator="equal">
      <formula>"In Progress"</formula>
    </cfRule>
    <cfRule type="cellIs" dxfId="2" priority="3" operator="equal">
      <formula>"Fixed"</formula>
    </cfRule>
    <cfRule type="cellIs" dxfId="3" priority="4" operator="equal">
      <formula>"Won't Fix"</formula>
    </cfRule>
  </conditionalFormatting>
  <dataValidations count="1">
    <dataValidation type="list" showErrorMessage="1" sqref="E5:E23">
      <formula1>"Open,In Progress,Fixed,Won't Fix"</formula1>
    </dataValidation>
  </dataValidations>
  <hyperlinks>
    <hyperlink ref="J5" r:id="rId1" tooltip="Open in editor"/>
    <hyperlink ref="J6" r:id="rId2" tooltip="Open in editor"/>
    <hyperlink ref="J7" r:id="rId3" tooltip="Open in editor"/>
    <hyperlink ref="J8" r:id="rId4" tooltip="Open in editor"/>
    <hyperlink ref="J9" r:id="rId5" tooltip="Open in editor"/>
    <hyperlink ref="J10" r:id="rId6" tooltip="Open in editor"/>
    <hyperlink ref="J11" r:id="rId7" tooltip="Open in editor"/>
    <hyperlink ref="J12" r:id="rId8" tooltip="Open in editor"/>
    <hyperlink ref="J13" r:id="rId9" tooltip="Open in editor"/>
    <hyperlink ref="J14" r:id="rId10" tooltip="Open in editor"/>
    <hyperlink ref="J15" r:id="rId11" tooltip="Open in editor"/>
    <hyperlink ref="J16" r:id="rId12" tooltip="Open in editor"/>
    <hyperlink ref="J17" r:id="rId13" tooltip="Open in editor"/>
    <hyperlink ref="J18" r:id="rId14" tooltip="Open in editor"/>
    <hyperlink ref="J19" r:id="rId15" tooltip="Open in editor"/>
    <hyperlink ref="J20" r:id="rId16" tooltip="Open in editor"/>
    <hyperlink ref="J21" r:id="rId17" tooltip="Open in editor"/>
    <hyperlink ref="J22" r:id="rId18" tooltip="Open in editor"/>
    <hyperlink ref="J23" r:id="rId19" tooltip="Open in editor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pane ySplit="3" topLeftCell="A4" activePane="bottomLeft" state="frozen"/>
      <selection pane="bottomLeft"/>
    </sheetView>
  </sheetViews>
  <sheetFormatPr defaultRowHeight="30" outlineLevelRow="0" outlineLevelCol="0" x14ac:dyDescent="55" customHeight="1"/>
  <cols>
    <col min="1" max="1" width="24" customWidth="1"/>
    <col min="2" max="2" width="5" customWidth="1"/>
    <col min="3" max="3" width="8" customWidth="1"/>
    <col min="4" max="4" width="44" customWidth="1"/>
    <col min="5" max="5" width="11" customWidth="1"/>
    <col min="6" max="6" width="8" customWidth="1"/>
    <col min="7" max="7" width="60" customWidth="1"/>
  </cols>
  <sheetData>
    <row r="1" ht="32" customHeight="1" spans="1:7" x14ac:dyDescent="0.25">
      <c r="A1" s="35" t="s">
        <v>237</v>
      </c>
      <c r="B1" s="35"/>
      <c r="C1" s="35"/>
      <c r="D1" s="35"/>
      <c r="E1" s="35"/>
      <c r="F1" s="35"/>
      <c r="G1" s="35"/>
    </row>
    <row r="2" spans="1:7" x14ac:dyDescent="0.25">
      <c r="A2" s="2" t="s">
        <v>238</v>
      </c>
      <c r="B2" s="2"/>
      <c r="C2" s="2"/>
      <c r="D2" s="2"/>
      <c r="E2" s="2"/>
      <c r="F2" s="2"/>
      <c r="G2" s="2"/>
    </row>
    <row r="3" spans="1:7" x14ac:dyDescent="0.25">
      <c r="A3" s="6" t="s">
        <v>239</v>
      </c>
      <c r="B3" s="6" t="s">
        <v>240</v>
      </c>
      <c r="C3" s="6" t="s">
        <v>241</v>
      </c>
      <c r="D3" s="6" t="s">
        <v>242</v>
      </c>
      <c r="E3" s="6" t="s">
        <v>8</v>
      </c>
      <c r="F3" s="6" t="s">
        <v>58</v>
      </c>
      <c r="G3" s="6" t="s">
        <v>243</v>
      </c>
    </row>
    <row r="4" ht="40" customHeight="1" spans="1:7" x14ac:dyDescent="0.25">
      <c r="A4" s="4" t="s">
        <v>244</v>
      </c>
      <c r="B4" s="9">
        <v>1</v>
      </c>
      <c r="C4" s="36" t="s">
        <v>66</v>
      </c>
      <c r="D4" s="12" t="s">
        <v>245</v>
      </c>
      <c r="E4" s="4" t="s">
        <v>4</v>
      </c>
      <c r="F4" s="9">
        <v>12</v>
      </c>
      <c r="G4" s="12" t="s">
        <v>72</v>
      </c>
    </row>
    <row r="5" ht="40" customHeight="1" spans="1:7" x14ac:dyDescent="0.25">
      <c r="A5" s="4" t="s">
        <v>244</v>
      </c>
      <c r="B5" s="9">
        <v>2</v>
      </c>
      <c r="C5" s="36" t="s">
        <v>74</v>
      </c>
      <c r="D5" s="12" t="s">
        <v>246</v>
      </c>
      <c r="E5" s="4" t="s">
        <v>4</v>
      </c>
      <c r="F5" s="9">
        <v>6</v>
      </c>
      <c r="G5" s="12" t="s">
        <v>79</v>
      </c>
    </row>
    <row r="6" ht="40" customHeight="1" spans="1:7" x14ac:dyDescent="0.25">
      <c r="A6" s="4" t="s">
        <v>244</v>
      </c>
      <c r="B6" s="9">
        <v>3</v>
      </c>
      <c r="C6" s="36" t="s">
        <v>121</v>
      </c>
      <c r="D6" s="12" t="s">
        <v>247</v>
      </c>
      <c r="E6" s="5" t="s">
        <v>5</v>
      </c>
      <c r="F6" s="9">
        <v>8</v>
      </c>
      <c r="G6" s="12" t="s">
        <v>128</v>
      </c>
    </row>
    <row r="7" ht="40" customHeight="1" spans="1:7" x14ac:dyDescent="0.25">
      <c r="A7" s="4" t="s">
        <v>244</v>
      </c>
      <c r="B7" s="9">
        <v>4</v>
      </c>
      <c r="C7" s="36" t="s">
        <v>95</v>
      </c>
      <c r="D7" s="12" t="s">
        <v>248</v>
      </c>
      <c r="E7" s="5" t="s">
        <v>5</v>
      </c>
      <c r="F7" s="9">
        <v>8</v>
      </c>
      <c r="G7" s="12" t="s">
        <v>101</v>
      </c>
    </row>
    <row r="8" ht="40" customHeight="1" spans="1:7" x14ac:dyDescent="0.25">
      <c r="A8" s="5" t="s">
        <v>249</v>
      </c>
      <c r="B8" s="9">
        <v>5</v>
      </c>
      <c r="C8" s="36" t="s">
        <v>88</v>
      </c>
      <c r="D8" s="12" t="s">
        <v>250</v>
      </c>
      <c r="E8" s="5" t="s">
        <v>5</v>
      </c>
      <c r="F8" s="9">
        <v>4</v>
      </c>
      <c r="G8" s="12" t="s">
        <v>93</v>
      </c>
    </row>
    <row r="9" ht="40" customHeight="1" spans="1:7" x14ac:dyDescent="0.25">
      <c r="A9" s="5" t="s">
        <v>249</v>
      </c>
      <c r="B9" s="9">
        <v>6</v>
      </c>
      <c r="C9" s="36" t="s">
        <v>103</v>
      </c>
      <c r="D9" s="12" t="s">
        <v>251</v>
      </c>
      <c r="E9" s="5" t="s">
        <v>5</v>
      </c>
      <c r="F9" s="9">
        <v>6</v>
      </c>
      <c r="G9" s="12" t="s">
        <v>110</v>
      </c>
    </row>
    <row r="10" ht="40" customHeight="1" spans="1:7" x14ac:dyDescent="0.25">
      <c r="A10" s="5" t="s">
        <v>249</v>
      </c>
      <c r="B10" s="9">
        <v>7</v>
      </c>
      <c r="C10" s="36" t="s">
        <v>112</v>
      </c>
      <c r="D10" s="12" t="s">
        <v>252</v>
      </c>
      <c r="E10" s="5" t="s">
        <v>5</v>
      </c>
      <c r="F10" s="9">
        <v>4</v>
      </c>
      <c r="G10" s="12" t="s">
        <v>119</v>
      </c>
    </row>
    <row r="11" ht="40" customHeight="1" spans="1:7" x14ac:dyDescent="0.25">
      <c r="A11" s="5" t="s">
        <v>249</v>
      </c>
      <c r="B11" s="9">
        <v>8</v>
      </c>
      <c r="C11" s="36" t="s">
        <v>130</v>
      </c>
      <c r="D11" s="12" t="s">
        <v>253</v>
      </c>
      <c r="E11" s="5" t="s">
        <v>5</v>
      </c>
      <c r="F11" s="9">
        <v>8</v>
      </c>
      <c r="G11" s="12" t="s">
        <v>137</v>
      </c>
    </row>
    <row r="12" ht="40" customHeight="1" spans="1:7" x14ac:dyDescent="0.25">
      <c r="A12" s="5" t="s">
        <v>249</v>
      </c>
      <c r="B12" s="9">
        <v>9</v>
      </c>
      <c r="C12" s="36" t="s">
        <v>175</v>
      </c>
      <c r="D12" s="12" t="s">
        <v>254</v>
      </c>
      <c r="E12" s="33" t="s">
        <v>141</v>
      </c>
      <c r="F12" s="9">
        <v>8</v>
      </c>
      <c r="G12" s="12" t="s">
        <v>183</v>
      </c>
    </row>
    <row r="13" ht="40" customHeight="1" spans="1:7" x14ac:dyDescent="0.25">
      <c r="A13" s="5" t="s">
        <v>249</v>
      </c>
      <c r="B13" s="9">
        <v>10</v>
      </c>
      <c r="C13" s="36" t="s">
        <v>185</v>
      </c>
      <c r="D13" s="12" t="s">
        <v>255</v>
      </c>
      <c r="E13" s="33" t="s">
        <v>141</v>
      </c>
      <c r="F13" s="9">
        <v>8</v>
      </c>
      <c r="G13" s="12" t="s">
        <v>192</v>
      </c>
    </row>
    <row r="14" ht="40" customHeight="1" spans="1:7" x14ac:dyDescent="0.25">
      <c r="A14" s="33" t="s">
        <v>256</v>
      </c>
      <c r="B14" s="9">
        <v>11</v>
      </c>
      <c r="C14" s="36" t="s">
        <v>139</v>
      </c>
      <c r="D14" s="12" t="s">
        <v>257</v>
      </c>
      <c r="E14" s="33" t="s">
        <v>141</v>
      </c>
      <c r="F14" s="9">
        <v>8</v>
      </c>
      <c r="G14" s="12" t="s">
        <v>147</v>
      </c>
    </row>
    <row r="15" ht="40" customHeight="1" spans="1:7" x14ac:dyDescent="0.25">
      <c r="A15" s="33" t="s">
        <v>256</v>
      </c>
      <c r="B15" s="9">
        <v>12</v>
      </c>
      <c r="C15" s="36" t="s">
        <v>149</v>
      </c>
      <c r="D15" s="12" t="s">
        <v>258</v>
      </c>
      <c r="E15" s="33" t="s">
        <v>141</v>
      </c>
      <c r="F15" s="9">
        <v>12</v>
      </c>
      <c r="G15" s="12" t="s">
        <v>156</v>
      </c>
    </row>
    <row r="16" ht="40" customHeight="1" spans="1:7" x14ac:dyDescent="0.25">
      <c r="A16" s="33" t="s">
        <v>256</v>
      </c>
      <c r="B16" s="9">
        <v>13</v>
      </c>
      <c r="C16" s="36" t="s">
        <v>167</v>
      </c>
      <c r="D16" s="12" t="s">
        <v>259</v>
      </c>
      <c r="E16" s="33" t="s">
        <v>141</v>
      </c>
      <c r="F16" s="9">
        <v>12</v>
      </c>
      <c r="G16" s="12" t="s">
        <v>173</v>
      </c>
    </row>
    <row r="17" ht="40" customHeight="1" spans="1:7" x14ac:dyDescent="0.25">
      <c r="A17" s="33" t="s">
        <v>256</v>
      </c>
      <c r="B17" s="9">
        <v>14</v>
      </c>
      <c r="C17" s="36" t="s">
        <v>158</v>
      </c>
      <c r="D17" s="12" t="s">
        <v>260</v>
      </c>
      <c r="E17" s="33" t="s">
        <v>141</v>
      </c>
      <c r="F17" s="9">
        <v>6</v>
      </c>
      <c r="G17" s="12" t="s">
        <v>165</v>
      </c>
    </row>
    <row r="18" ht="40" customHeight="1" spans="1:7" x14ac:dyDescent="0.25">
      <c r="A18" s="34" t="s">
        <v>261</v>
      </c>
      <c r="B18" s="9">
        <v>15</v>
      </c>
      <c r="C18" s="36" t="s">
        <v>81</v>
      </c>
      <c r="D18" s="12" t="s">
        <v>262</v>
      </c>
      <c r="E18" s="5" t="s">
        <v>5</v>
      </c>
      <c r="F18" s="9">
        <v>4</v>
      </c>
      <c r="G18" s="12" t="s">
        <v>86</v>
      </c>
    </row>
    <row r="19" ht="40" customHeight="1" spans="1:7" x14ac:dyDescent="0.25">
      <c r="A19" s="34" t="s">
        <v>261</v>
      </c>
      <c r="B19" s="9">
        <v>16</v>
      </c>
      <c r="C19" s="36" t="s">
        <v>194</v>
      </c>
      <c r="D19" s="12" t="s">
        <v>263</v>
      </c>
      <c r="E19" s="34" t="s">
        <v>197</v>
      </c>
      <c r="F19" s="9">
        <v>4</v>
      </c>
      <c r="G19" s="12" t="s">
        <v>203</v>
      </c>
    </row>
    <row r="20" ht="40" customHeight="1" spans="1:7" x14ac:dyDescent="0.25">
      <c r="A20" s="34" t="s">
        <v>261</v>
      </c>
      <c r="B20" s="9">
        <v>17</v>
      </c>
      <c r="C20" s="36" t="s">
        <v>215</v>
      </c>
      <c r="D20" s="12" t="s">
        <v>264</v>
      </c>
      <c r="E20" s="34" t="s">
        <v>197</v>
      </c>
      <c r="F20" s="9">
        <v>4</v>
      </c>
      <c r="G20" s="12" t="s">
        <v>223</v>
      </c>
    </row>
    <row r="21" ht="40" customHeight="1" spans="1:7" x14ac:dyDescent="0.25">
      <c r="A21" s="34" t="s">
        <v>261</v>
      </c>
      <c r="B21" s="9">
        <v>18</v>
      </c>
      <c r="C21" s="36" t="s">
        <v>225</v>
      </c>
      <c r="D21" s="12" t="s">
        <v>265</v>
      </c>
      <c r="E21" s="34" t="s">
        <v>197</v>
      </c>
      <c r="F21" s="9">
        <v>4</v>
      </c>
      <c r="G21" s="12" t="s">
        <v>232</v>
      </c>
    </row>
    <row r="22" ht="40" customHeight="1" spans="1:7" x14ac:dyDescent="0.25">
      <c r="A22" s="34" t="s">
        <v>261</v>
      </c>
      <c r="B22" s="9">
        <v>19</v>
      </c>
      <c r="C22" s="36" t="s">
        <v>205</v>
      </c>
      <c r="D22" s="12" t="s">
        <v>266</v>
      </c>
      <c r="E22" s="34" t="s">
        <v>197</v>
      </c>
      <c r="F22" s="9">
        <v>12</v>
      </c>
      <c r="G22" s="12" t="s">
        <v>213</v>
      </c>
    </row>
  </sheetData>
  <autoFilter ref="A3:G21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2" topLeftCell="A3" activePane="bottomLeft" state="frozen"/>
      <selection pane="bottomLeft"/>
    </sheetView>
  </sheetViews>
  <sheetFormatPr defaultRowHeight="40" outlineLevelRow="0" outlineLevelCol="0" x14ac:dyDescent="55" customHeight="1"/>
  <cols>
    <col min="1" max="1" width="30" customWidth="1"/>
    <col min="2" max="2" width="90" customWidth="1"/>
    <col min="3" max="3" width="12" customWidth="1"/>
  </cols>
  <sheetData>
    <row r="1" spans="1:3" x14ac:dyDescent="0.25">
      <c r="A1" s="37" t="s">
        <v>267</v>
      </c>
      <c r="B1" s="37"/>
      <c r="C1" s="37"/>
    </row>
    <row r="2" spans="1:3" x14ac:dyDescent="0.25">
      <c r="A2" s="13" t="s">
        <v>268</v>
      </c>
      <c r="B2" s="13" t="s">
        <v>63</v>
      </c>
      <c r="C2" s="13" t="s">
        <v>57</v>
      </c>
    </row>
    <row r="3" spans="1:3" x14ac:dyDescent="0.25">
      <c r="A3" s="38" t="s">
        <v>269</v>
      </c>
      <c r="B3" s="12" t="s">
        <v>270</v>
      </c>
      <c r="C3" s="39" t="s">
        <v>271</v>
      </c>
    </row>
    <row r="4" spans="1:3" x14ac:dyDescent="0.25">
      <c r="A4" s="38" t="s">
        <v>272</v>
      </c>
      <c r="B4" s="12" t="s">
        <v>273</v>
      </c>
      <c r="C4" s="39" t="s">
        <v>271</v>
      </c>
    </row>
    <row r="5" spans="1:3" x14ac:dyDescent="0.25">
      <c r="A5" s="38" t="s">
        <v>274</v>
      </c>
      <c r="B5" s="12" t="s">
        <v>275</v>
      </c>
      <c r="C5" s="39" t="s">
        <v>271</v>
      </c>
    </row>
    <row r="6" spans="1:3" x14ac:dyDescent="0.25">
      <c r="A6" s="38" t="s">
        <v>276</v>
      </c>
      <c r="B6" s="12" t="s">
        <v>277</v>
      </c>
      <c r="C6" s="39" t="s">
        <v>271</v>
      </c>
    </row>
    <row r="7" spans="1:3" x14ac:dyDescent="0.25">
      <c r="A7" s="38" t="s">
        <v>278</v>
      </c>
      <c r="B7" s="12" t="s">
        <v>279</v>
      </c>
      <c r="C7" s="39" t="s">
        <v>271</v>
      </c>
    </row>
    <row r="8" spans="1:3" x14ac:dyDescent="0.25">
      <c r="A8" s="38" t="s">
        <v>280</v>
      </c>
      <c r="B8" s="12" t="s">
        <v>281</v>
      </c>
      <c r="C8" s="39" t="s">
        <v>271</v>
      </c>
    </row>
  </sheetData>
  <autoFilter ref="A2:C7"/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2" topLeftCell="A3" activePane="bottomLeft" state="frozen"/>
      <selection pane="bottomLeft"/>
    </sheetView>
  </sheetViews>
  <sheetFormatPr defaultRowHeight="40" outlineLevelRow="0" outlineLevelCol="0" x14ac:dyDescent="55" customHeight="1"/>
  <cols>
    <col min="1" max="1" width="34" customWidth="1"/>
    <col min="2" max="2" width="50" customWidth="1"/>
    <col min="3" max="3" width="75" customWidth="1"/>
    <col min="4" max="4" width="12" customWidth="1"/>
  </cols>
  <sheetData>
    <row r="1" spans="1:4" x14ac:dyDescent="0.25">
      <c r="A1" s="40" t="s">
        <v>282</v>
      </c>
      <c r="B1" s="40"/>
      <c r="C1" s="40"/>
      <c r="D1" s="40"/>
    </row>
    <row r="2" spans="1:4" x14ac:dyDescent="0.25">
      <c r="A2" s="13" t="s">
        <v>283</v>
      </c>
      <c r="B2" s="13" t="s">
        <v>284</v>
      </c>
      <c r="C2" s="13" t="s">
        <v>285</v>
      </c>
      <c r="D2" s="13" t="s">
        <v>57</v>
      </c>
    </row>
    <row r="3" spans="1:4" x14ac:dyDescent="0.25">
      <c r="A3" s="41" t="s">
        <v>286</v>
      </c>
      <c r="B3" s="12" t="s">
        <v>287</v>
      </c>
      <c r="C3" s="42" t="s">
        <v>288</v>
      </c>
      <c r="D3" s="43" t="s">
        <v>289</v>
      </c>
    </row>
    <row r="4" spans="1:4" x14ac:dyDescent="0.25">
      <c r="A4" s="41" t="s">
        <v>290</v>
      </c>
      <c r="B4" s="12" t="s">
        <v>291</v>
      </c>
      <c r="C4" s="42" t="s">
        <v>292</v>
      </c>
      <c r="D4" s="43" t="s">
        <v>289</v>
      </c>
    </row>
    <row r="5" spans="1:4" x14ac:dyDescent="0.25">
      <c r="A5" s="41" t="s">
        <v>293</v>
      </c>
      <c r="B5" s="12" t="s">
        <v>294</v>
      </c>
      <c r="C5" s="42" t="s">
        <v>295</v>
      </c>
      <c r="D5" s="43" t="s">
        <v>289</v>
      </c>
    </row>
    <row r="6" spans="1:4" x14ac:dyDescent="0.25">
      <c r="A6" s="41" t="s">
        <v>296</v>
      </c>
      <c r="B6" s="12" t="s">
        <v>297</v>
      </c>
      <c r="C6" s="42" t="s">
        <v>298</v>
      </c>
      <c r="D6" s="43" t="s">
        <v>289</v>
      </c>
    </row>
    <row r="7" spans="1:4" x14ac:dyDescent="0.25">
      <c r="A7" s="41" t="s">
        <v>299</v>
      </c>
      <c r="B7" s="12" t="s">
        <v>300</v>
      </c>
      <c r="C7" s="42" t="s">
        <v>301</v>
      </c>
      <c r="D7" s="43" t="s">
        <v>289</v>
      </c>
    </row>
    <row r="8" spans="1:4" x14ac:dyDescent="0.25">
      <c r="A8" s="41" t="s">
        <v>302</v>
      </c>
      <c r="B8" s="12" t="s">
        <v>303</v>
      </c>
      <c r="C8" s="42" t="s">
        <v>304</v>
      </c>
      <c r="D8" s="43" t="s">
        <v>289</v>
      </c>
    </row>
    <row r="9" spans="1:4" x14ac:dyDescent="0.25">
      <c r="A9" s="41" t="s">
        <v>305</v>
      </c>
      <c r="B9" s="12" t="s">
        <v>306</v>
      </c>
      <c r="C9" s="42" t="s">
        <v>307</v>
      </c>
      <c r="D9" s="43" t="s">
        <v>289</v>
      </c>
    </row>
    <row r="10" spans="1:4" x14ac:dyDescent="0.25">
      <c r="A10" s="41" t="s">
        <v>308</v>
      </c>
      <c r="B10" s="12" t="s">
        <v>309</v>
      </c>
      <c r="C10" s="42" t="s">
        <v>310</v>
      </c>
      <c r="D10" s="43" t="s">
        <v>289</v>
      </c>
    </row>
    <row r="11" spans="1:4" x14ac:dyDescent="0.25">
      <c r="A11" s="41" t="s">
        <v>311</v>
      </c>
      <c r="B11" s="12" t="s">
        <v>312</v>
      </c>
      <c r="C11" s="42" t="s">
        <v>313</v>
      </c>
      <c r="D11" s="43" t="s">
        <v>289</v>
      </c>
    </row>
  </sheetData>
  <autoFilter ref="A2:D10"/>
  <mergeCells count="1">
    <mergeCell ref="A1:D1"/>
  </mergeCells>
  <dataValidations count="1">
    <dataValidation type="list" showErrorMessage="1" sqref="D3:D11">
      <formula1>"Pending,Checked,NA"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Findings</vt:lpstr>
      <vt:lpstr>Fix Roadmap</vt:lpstr>
      <vt:lpstr>Verified Working</vt:lpstr>
      <vt:lpstr>DB Checks</vt:lpstr>
    </vt:vector>
  </TitlesOfParts>
  <Company>Linguafy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Linguafy Audit</dc:creator>
  <dc:title/>
  <dc:subject/>
  <dc:description/>
  <cp:keywords/>
  <cp:category/>
  <cp:lastModifiedBy>Unknown</cp:lastModifiedBy>
  <dcterms:created xsi:type="dcterms:W3CDTF">2026-08-12T12:27:36Z</dcterms:created>
  <dcterms:modified xsi:type="dcterms:W3CDTF">2026-08-12T12:27:36Z</dcterms:modified>
</cp:coreProperties>
</file>